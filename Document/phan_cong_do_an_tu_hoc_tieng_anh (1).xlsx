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workbookProtection/>
  <bookViews>
    <workbookView xWindow="360" yWindow="15" windowWidth="20955" windowHeight="9720" activeTab="0" showHorizontalScroll="1" showVerticalScroll="1"/>
  </bookViews>
  <sheets>
    <sheet name="Hướng dẫn" sheetId="1" state="visible" r:id="rId1"/>
    <sheet name="Phân công module" sheetId="2" state="visible" r:id="rId2"/>
    <sheet name="Task chi tiết" sheetId="3" state="visible" r:id="rId3"/>
    <sheet name="Lộ trình Sprint" sheetId="4" state="visible" r:id="rId4"/>
  </sheets>
  <definedNames>
    <definedName name="_xlnm._FilterDatabase" localSheetId="2" hidden="1">'Task chi tiết'!$A$3:$K$62</definedName>
    <definedName name="_xlnm._FilterDatabase" localSheetId="2" hidden="1">'Task chi tiết'!$A$3:$K$63</definedName>
  </definedNames>
  <calcPr refMode="A1" iterate="0" iterateCount="100"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<sst xmlns="http://schemas.openxmlformats.org/spreadsheetml/2006/main" count="286" uniqueCount="286">
  <si>
    <t xml:space="preserve">Đồ án: Hệ thống hỗ trợ tự học tiếng Anh (Microservices NestJS)</t>
  </si>
  <si>
    <t xml:space="preserve">Cách dùng file này</t>
  </si>
  <si>
    <t xml:space="preserve">Sheet 'Task chi tiết'</t>
  </si>
  <si>
    <t xml:space="preserve">Danh sách công việc. Chỉ sửa 2 cột tô vàng: 'Trạng thái' và 'Ghi chú'. Các cột khác chốt theo phân công.</t>
  </si>
  <si>
    <t xml:space="preserve">Sheet 'Tải công việc'</t>
  </si>
  <si>
    <t xml:space="preserve">Tự động tính lại từ 'Task chi tiết' bằng công thức. KHÔNG gõ tay số liệu vào sheet này.</t>
  </si>
  <si>
    <t xml:space="preserve">Sheet 'Phân công module'</t>
  </si>
  <si>
    <t xml:space="preserve">Bảng sở hữu module. Mỗi service chỉ có 1 owner duy nhất (code + DB + Swagger + unit test).</t>
  </si>
  <si>
    <t xml:space="preserve">Sheet 'Lộ trình Sprint'</t>
  </si>
  <si>
    <t xml:space="preserve">4 sprint x 2 tuần. Điền ngày bắt đầu thật vào cột tô vàng.</t>
  </si>
  <si>
    <t xml:space="preserve">Quy ước</t>
  </si>
  <si>
    <t xml:space="preserve">Đơn vị ước lượng</t>
  </si>
  <si>
    <t xml:space="preserve">Ngày công (person-day), 1 ngày ≈ 6 giờ làm việc thực.</t>
  </si>
  <si>
    <t xml:space="preserve">Trạng thái hợp lệ</t>
  </si>
  <si>
    <t xml:space="preserve">Chưa bắt đầu / Đang làm / Chờ review / Xong / Tạm hoãn</t>
  </si>
  <si>
    <t xml:space="preserve">Ưu tiên</t>
  </si>
  <si>
    <t xml:space="preserve">Cao = chặn người khác nếu trễ; Trung bình = trong luồng chính; Thấp = làm nếu còn thời gian.</t>
  </si>
  <si>
    <t xml:space="preserve">Số liệu ước lượng</t>
  </si>
  <si>
    <t xml:space="preserve">Do nhóm tự ước lượng khi lập kế hoạch, chưa phải số đo thực tế - cập nhật lại sau mỗi sprint.</t>
  </si>
  <si>
    <t xml:space="preserve">Thành viên</t>
  </si>
  <si>
    <t>Đức</t>
  </si>
  <si>
    <t xml:space="preserve">AI / Hệ thống - Hạ tầng, DevOps, API Gateway</t>
  </si>
  <si>
    <t>Đạt</t>
  </si>
  <si>
    <t xml:space="preserve">AI / Hệ thống -  Module gợi ý bài học, Notification Service</t>
  </si>
  <si>
    <t>Long</t>
  </si>
  <si>
    <t xml:space="preserve">Fullstack - Account Service + Payment Service + FE luồng auth/thanh toán</t>
  </si>
  <si>
    <t>Hà</t>
  </si>
  <si>
    <t xml:space="preserve">Fullstack - Content Service + Learning Service + FE trang học</t>
  </si>
  <si>
    <t>Ninthanon</t>
  </si>
  <si>
    <t xml:space="preserve">CRUD đơn giản, trang quản trị, seed data, test, tài liệu (có Long/Hà review PR)</t>
  </si>
  <si>
    <t xml:space="preserve">Bảng sở hữu module (bounded context)</t>
  </si>
  <si>
    <t>Mã</t>
  </si>
  <si>
    <t>Module</t>
  </si>
  <si>
    <t xml:space="preserve">Người phụ trách</t>
  </si>
  <si>
    <t xml:space="preserve">Phạm vi chính</t>
  </si>
  <si>
    <t xml:space="preserve">Data store</t>
  </si>
  <si>
    <t xml:space="preserve">Ngày công</t>
  </si>
  <si>
    <t>M0</t>
  </si>
  <si>
    <t xml:space="preserve">Hạ tầng &amp; DevOps</t>
  </si>
  <si>
    <t xml:space="preserve">Monorepo NestJS, thư viện common, Docker Compose, RabbitMQ, Nginx, CI/CD GitHub Actions</t>
  </si>
  <si>
    <t>-</t>
  </si>
  <si>
    <t>M1</t>
  </si>
  <si>
    <t xml:space="preserve">API Gateway</t>
  </si>
  <si>
    <t xml:space="preserve">Routing, verify JWT, rate limiting, Helmet/CSP, API tổng hợp thống kê cho Admin</t>
  </si>
  <si>
    <t>stateless</t>
  </si>
  <si>
    <t>M2</t>
  </si>
  <si>
    <t xml:space="preserve">Notification Service + Gợi ý bài học</t>
  </si>
  <si>
    <t xml:space="preserve">Cron nhắc học 20:00, email + in-app, consumer RabbitMQ, API /lessons/recommended</t>
  </si>
  <si>
    <t xml:space="preserve">PostgreSQL notification_db</t>
  </si>
  <si>
    <t>M3</t>
  </si>
  <si>
    <t xml:space="preserve">Account Service</t>
  </si>
  <si>
    <t xml:space="preserve">Đăng ký/đăng nhập, RBAC, quản lý học viên &amp; Editor, vòng đời VIP, tìm kiếm</t>
  </si>
  <si>
    <t xml:space="preserve">PostgreSQL account_db</t>
  </si>
  <si>
    <t>M4</t>
  </si>
  <si>
    <t xml:space="preserve">Payment Service</t>
  </si>
  <si>
    <t xml:space="preserve">Checkout VNPay/Momo, webhook, Outbox pattern + relay worker</t>
  </si>
  <si>
    <t xml:space="preserve">PostgreSQL payment_db</t>
  </si>
  <si>
    <t>M5</t>
  </si>
  <si>
    <t xml:space="preserve">Content Service</t>
  </si>
  <si>
    <t xml:space="preserve">CRUD danh mục &amp; bài học, level, media S3/CDN, search, kiểm duyệt DRAFT/PENDING/PUBLISHED</t>
  </si>
  <si>
    <t xml:space="preserve">PostgreSQL content_db</t>
  </si>
  <si>
    <t>M6</t>
  </si>
  <si>
    <t xml:space="preserve">Learning Service</t>
  </si>
  <si>
    <t xml:space="preserve">Quiz + tự chấm điểm, lịch sử làm bài, API last-activity</t>
  </si>
  <si>
    <t xml:space="preserve">PostgreSQL learning_db</t>
  </si>
  <si>
    <t>M7</t>
  </si>
  <si>
    <t xml:space="preserve">Trang quản trị + QA + Tài liệu</t>
  </si>
  <si>
    <t xml:space="preserve">Comment/favorite/history, UI kit, màn CRUD Admin/Editor, seed data, Newman, báo cáo</t>
  </si>
  <si>
    <t xml:space="preserve">dùng chung</t>
  </si>
  <si>
    <t>Tổng</t>
  </si>
  <si>
    <t xml:space="preserve">Nguyên tắc: mỗi service 1 owner duy nhất, không JOIN cross-service, chốt OpenAPI + event schema ở Sprint 0 rồi mới chạy song song.</t>
  </si>
  <si>
    <t xml:space="preserve">Danh sách task chi tiết</t>
  </si>
  <si>
    <t>ID</t>
  </si>
  <si>
    <t xml:space="preserve">Thành phần</t>
  </si>
  <si>
    <t>Task</t>
  </si>
  <si>
    <t>Sprint</t>
  </si>
  <si>
    <t xml:space="preserve">Ước lượng (ngày)</t>
  </si>
  <si>
    <t xml:space="preserve">Phụ thuộc</t>
  </si>
  <si>
    <t xml:space="preserve">Trạng thái</t>
  </si>
  <si>
    <t xml:space="preserve">Ghi chú</t>
  </si>
  <si>
    <t>T01</t>
  </si>
  <si>
    <t>Monorepo</t>
  </si>
  <si>
    <t xml:space="preserve">Khởi tạo monorepo NestJS (5 service + gateway), chuẩn ESLint/Prettier/tsconfig</t>
  </si>
  <si>
    <t xml:space="preserve">Sprint 0</t>
  </si>
  <si>
    <t>Cao</t>
  </si>
  <si>
    <t xml:space="preserve">Chưa bắt đầu</t>
  </si>
  <si>
    <t>T02</t>
  </si>
  <si>
    <t xml:space="preserve">Thư viện common</t>
  </si>
  <si>
    <t xml:space="preserve">Package dùng chung: DTO, error filter, JWT guard, RBAC decorator, logger</t>
  </si>
  <si>
    <t>T03</t>
  </si>
  <si>
    <t>Docker</t>
  </si>
  <si>
    <t xml:space="preserve">docker-compose: 5 PostgreSQL riêng, RabbitMQ, Nginx reverse proxy, file .env mẫu</t>
  </si>
  <si>
    <t>T04</t>
  </si>
  <si>
    <t xml:space="preserve">Event contract</t>
  </si>
  <si>
    <t xml:space="preserve">Định nghĩa exchange, routing key, payload, versioning cho payment.succeeded / account.locked / vip.expired</t>
  </si>
  <si>
    <t>T05</t>
  </si>
  <si>
    <t>CI</t>
  </si>
  <si>
    <t xml:space="preserve">GitHub Actions: install → Jest → build Docker image → push registry</t>
  </si>
  <si>
    <t xml:space="preserve">Sprint 1</t>
  </si>
  <si>
    <t xml:space="preserve">Trung bình</t>
  </si>
  <si>
    <t>T06</t>
  </si>
  <si>
    <t>CD</t>
  </si>
  <si>
    <t xml:space="preserve">SSH deploy lên VPS, tự chạy migration khi container khởi động</t>
  </si>
  <si>
    <t>T07</t>
  </si>
  <si>
    <t xml:space="preserve">Tài liệu API</t>
  </si>
  <si>
    <t xml:space="preserve">Gộp Swagger toàn hệ thống + healthcheck cho từng service</t>
  </si>
  <si>
    <t>Thấp</t>
  </si>
  <si>
    <t>T08</t>
  </si>
  <si>
    <t>Gateway</t>
  </si>
  <si>
    <t xml:space="preserve">Routing tới 5 service, cấu hình proxy, timeout, chuẩn hoá lỗi</t>
  </si>
  <si>
    <t>T09</t>
  </si>
  <si>
    <t xml:space="preserve">Verify JWT, forward user context, kiểm tra RBAC tại gateway</t>
  </si>
  <si>
    <t>T21</t>
  </si>
  <si>
    <t>T10</t>
  </si>
  <si>
    <t xml:space="preserve">Bảo mật</t>
  </si>
  <si>
    <t xml:space="preserve">Rate limiting 100 req/phút/IP, Helmet.js + Content Security Policy</t>
  </si>
  <si>
    <t xml:space="preserve">Sprint 3</t>
  </si>
  <si>
    <t>T11</t>
  </si>
  <si>
    <t xml:space="preserve">Thống kê</t>
  </si>
  <si>
    <t xml:space="preserve">API tổng hợp thống kê cho Admin: fan-out gọi các service rồi merge kết quả</t>
  </si>
  <si>
    <t>T12</t>
  </si>
  <si>
    <t>notification_db</t>
  </si>
  <si>
    <t xml:space="preserve">Schema templates / notifications / notification_settings + migration</t>
  </si>
  <si>
    <t>T13</t>
  </si>
  <si>
    <t xml:space="preserve">API thông báo</t>
  </si>
  <si>
    <t xml:space="preserve">Xem danh sách, đánh dấu đã đọc, xóa, bật/tắt nhận thông báo</t>
  </si>
  <si>
    <t>T14</t>
  </si>
  <si>
    <t xml:space="preserve">Cron nhắc học</t>
  </si>
  <si>
    <t xml:space="preserve">Cron 20:00 hằng ngày: gọi /learning/last-activity, lọc user chưa học hôm nay</t>
  </si>
  <si>
    <t xml:space="preserve">Sprint 2</t>
  </si>
  <si>
    <t>T39</t>
  </si>
  <si>
    <t>T15</t>
  </si>
  <si>
    <t>Email</t>
  </si>
  <si>
    <t xml:space="preserve">Tích hợp SMTP/Resend, template email nhắc học và xác nhận VIP</t>
  </si>
  <si>
    <t>T16</t>
  </si>
  <si>
    <t>Consumer</t>
  </si>
  <si>
    <t xml:space="preserve">Subscribe payment.succeeded và vip.expired, cơ chế retry + dead-letter queue</t>
  </si>
  <si>
    <t xml:space="preserve">T04, T31</t>
  </si>
  <si>
    <t>T17</t>
  </si>
  <si>
    <t xml:space="preserve">Gợi ý bài học</t>
  </si>
  <si>
    <t xml:space="preserve">API /lessons/recommended - rule-based theo level + lịch sử điểm</t>
  </si>
  <si>
    <t xml:space="preserve">T34, T39</t>
  </si>
  <si>
    <t>T18</t>
  </si>
  <si>
    <t xml:space="preserve">Nâng cấp gợi ý bằng collaborative filtering / embedding (điểm nhấn AI khi bảo vệ)</t>
  </si>
  <si>
    <t>T19</t>
  </si>
  <si>
    <t xml:space="preserve">Chất lượng</t>
  </si>
  <si>
    <t xml:space="preserve">Unit test Jest + Swagger cho Notification Service</t>
  </si>
  <si>
    <t>T20</t>
  </si>
  <si>
    <t>account_db</t>
  </si>
  <si>
    <t xml:space="preserve">Schema users / roles / user_roles + migration</t>
  </si>
  <si>
    <t xml:space="preserve">Xác thực</t>
  </si>
  <si>
    <t xml:space="preserve">Đăng ký, đăng nhập, đăng xuất: bcrypt, JWT + refresh token</t>
  </si>
  <si>
    <t>T22</t>
  </si>
  <si>
    <t xml:space="preserve">Tài khoản cá nhân</t>
  </si>
  <si>
    <t xml:space="preserve">Xem/sửa thông tin cá nhân, đổi mật khẩu</t>
  </si>
  <si>
    <t>T23</t>
  </si>
  <si>
    <t xml:space="preserve">Quản lý học viên</t>
  </si>
  <si>
    <t xml:space="preserve">CRUD học viên, đổi trạng thái normal↔VIP và active↔khóa</t>
  </si>
  <si>
    <t>T24</t>
  </si>
  <si>
    <t xml:space="preserve">Quản lý Editor</t>
  </si>
  <si>
    <t xml:space="preserve">CRUD tài khoản Editor + cấp quyền theo RBAC</t>
  </si>
  <si>
    <t>T25</t>
  </si>
  <si>
    <t xml:space="preserve">Tìm kiếm</t>
  </si>
  <si>
    <t xml:space="preserve">Tìm kiếm học viên/Editor: phân trang, lọc theo trạng thái</t>
  </si>
  <si>
    <t>T26</t>
  </si>
  <si>
    <t xml:space="preserve">Sự kiện</t>
  </si>
  <si>
    <t xml:space="preserve">Publish account.locked/unlocked; subscribe payment.succeeded → nâng VIP</t>
  </si>
  <si>
    <t>T27</t>
  </si>
  <si>
    <t xml:space="preserve">Vòng đời VIP</t>
  </si>
  <si>
    <t xml:space="preserve">Cron 00:00 quét vip_expiry &lt;= hôm nay → hạ về normal, publish vip.expired</t>
  </si>
  <si>
    <t>T28</t>
  </si>
  <si>
    <t>payment_db</t>
  </si>
  <si>
    <t xml:space="preserve">Schema plans / transactions / outbox + migration</t>
  </si>
  <si>
    <t>T29</t>
  </si>
  <si>
    <t>Checkout</t>
  </si>
  <si>
    <t xml:space="preserve">POST /checkout tạo giao dịch, trả redirect URL cổng VNPay/Momo (sandbox)</t>
  </si>
  <si>
    <t>T30</t>
  </si>
  <si>
    <t>Webhook</t>
  </si>
  <si>
    <t xml:space="preserve">Nhận webhook, verify chữ ký, cập nhật trạng thái giao dịch, ack</t>
  </si>
  <si>
    <t>T31</t>
  </si>
  <si>
    <t>Outbox</t>
  </si>
  <si>
    <t xml:space="preserve">Outbox pattern + relay worker đẩy message vào RabbitMQ, retry at-least-once</t>
  </si>
  <si>
    <t>T32</t>
  </si>
  <si>
    <t>Frontend</t>
  </si>
  <si>
    <t xml:space="preserve">Màn đăng ký/đăng nhập/quên mật khẩu + trang thông tin cá nhân</t>
  </si>
  <si>
    <t>T33</t>
  </si>
  <si>
    <t xml:space="preserve">Luồng chọn gói VIP → redirect thanh toán → trang kết quả (xử lý VIP chưa cập nhật ngay)</t>
  </si>
  <si>
    <t>T34</t>
  </si>
  <si>
    <t>content_db</t>
  </si>
  <si>
    <t xml:space="preserve">Schema categories / lessons / media_assets + migration</t>
  </si>
  <si>
    <t>T35</t>
  </si>
  <si>
    <t xml:space="preserve">Danh mục</t>
  </si>
  <si>
    <t xml:space="preserve">CRUD danh mục bài học, sắp xếp, phân cấp</t>
  </si>
  <si>
    <t>T36</t>
  </si>
  <si>
    <t xml:space="preserve">Bài học</t>
  </si>
  <si>
    <t xml:space="preserve">CRUD bài học, gắn level dễ/TB/khó, đánh dấu public vs VIP</t>
  </si>
  <si>
    <t>T37</t>
  </si>
  <si>
    <t>Media</t>
  </si>
  <si>
    <t xml:space="preserve">Upload audio/ảnh lên AWS S3, trả URL CDN kèm Cache-Control</t>
  </si>
  <si>
    <t>T38</t>
  </si>
  <si>
    <t xml:space="preserve">Full-text search danh mục/bài học bằng tsvector của PostgreSQL</t>
  </si>
  <si>
    <t xml:space="preserve">Kiểm duyệt</t>
  </si>
  <si>
    <t xml:space="preserve">Trạng thái DRAFT/PENDING/PUBLISHED + API submit / approve / reject</t>
  </si>
  <si>
    <t>T40</t>
  </si>
  <si>
    <t>learning_db</t>
  </si>
  <si>
    <t xml:space="preserve">Schema quizzes / questions / lesson_attempts / favorites / comments</t>
  </si>
  <si>
    <t>T41</t>
  </si>
  <si>
    <t>Quiz</t>
  </si>
  <si>
    <t xml:space="preserve">GET /quizzes/:levelId trả câu hỏi đã ẩn đáp án</t>
  </si>
  <si>
    <t>T42</t>
  </si>
  <si>
    <t xml:space="preserve">Chấm điểm</t>
  </si>
  <si>
    <t xml:space="preserve">POST /submit: so khớp đáp án, tính điểm, lưu kết quả + thời gian làm bài</t>
  </si>
  <si>
    <t>T43</t>
  </si>
  <si>
    <t xml:space="preserve">API nội bộ</t>
  </si>
  <si>
    <t xml:space="preserve">GET /learning/last-activity phục vụ Notification Service</t>
  </si>
  <si>
    <t>T44</t>
  </si>
  <si>
    <t xml:space="preserve">Trang danh mục + danh sách bài học, bộ lọc theo level</t>
  </si>
  <si>
    <t>T45</t>
  </si>
  <si>
    <t xml:space="preserve">Trang chi tiết bài học, lazy loading ảnh/audio (mục tiêu LCP &lt; 2.5s)</t>
  </si>
  <si>
    <t>T46</t>
  </si>
  <si>
    <t xml:space="preserve">Trình làm quiz + hiển thị điểm ngay sau khi nộp</t>
  </si>
  <si>
    <t>T47</t>
  </si>
  <si>
    <t xml:space="preserve">Chặn nội dung theo quyền: guest / normal / VIP</t>
  </si>
  <si>
    <t>T48</t>
  </si>
  <si>
    <t>Learning</t>
  </si>
  <si>
    <t xml:space="preserve">CRUD comment dưới bài học (Hà review PR)</t>
  </si>
  <si>
    <t>T49</t>
  </si>
  <si>
    <t xml:space="preserve">Lưu/xóa bài học yêu thích (Hà review PR)</t>
  </si>
  <si>
    <t>T50</t>
  </si>
  <si>
    <t xml:space="preserve">API + màn hình lịch sử bài học đã làm</t>
  </si>
  <si>
    <t>T51</t>
  </si>
  <si>
    <t xml:space="preserve">UI kit</t>
  </si>
  <si>
    <t xml:space="preserve">Bộ component dùng chung: table, form, modal, toast, layout admin</t>
  </si>
  <si>
    <t>T52</t>
  </si>
  <si>
    <t xml:space="preserve">Trang quản trị</t>
  </si>
  <si>
    <t xml:space="preserve">Màn CRUD danh mục và bài học cho Editor/Admin</t>
  </si>
  <si>
    <t xml:space="preserve">T36, T51</t>
  </si>
  <si>
    <t>T53</t>
  </si>
  <si>
    <t xml:space="preserve">Màn quản lý tài khoản học viên và Editor</t>
  </si>
  <si>
    <t xml:space="preserve">T24, T51</t>
  </si>
  <si>
    <t>T54</t>
  </si>
  <si>
    <t xml:space="preserve">Hàng đợi kiểm duyệt nội dung cho Admin</t>
  </si>
  <si>
    <t>T55</t>
  </si>
  <si>
    <t xml:space="preserve">Dashboard thống kê (chỉ render dữ liệu từ API tổng hợp)</t>
  </si>
  <si>
    <t>T56</t>
  </si>
  <si>
    <t xml:space="preserve">Notification center trên web (Đạt review PR)</t>
  </si>
  <si>
    <t>T57</t>
  </si>
  <si>
    <t xml:space="preserve">Dữ liệu mẫu</t>
  </si>
  <si>
    <t xml:space="preserve">Seed data: 3+ danh mục, 20 bài học, 5 bộ quiz, tài khoản demo mỗi vai trò</t>
  </si>
  <si>
    <t>T58</t>
  </si>
  <si>
    <t xml:space="preserve">Kiểm thử</t>
  </si>
  <si>
    <t xml:space="preserve">Postman Collection + chạy Newman trong pipeline CI</t>
  </si>
  <si>
    <t>T59</t>
  </si>
  <si>
    <t xml:space="preserve">Tài liệu</t>
  </si>
  <si>
    <t xml:space="preserve">Đặc tả use-case chi tiết, ERD hoàn chỉnh, báo cáo đồ án</t>
  </si>
  <si>
    <t xml:space="preserve">Lộ trình 4 sprint x 2 tuần</t>
  </si>
  <si>
    <t xml:space="preserve">Ngày bắt đầu</t>
  </si>
  <si>
    <t xml:space="preserve">Ngày kết thúc</t>
  </si>
  <si>
    <t xml:space="preserve">Trọng tâm</t>
  </si>
  <si>
    <t>Intern</t>
  </si>
  <si>
    <t xml:space="preserve">Dựng nền: skeleton, compose, chốt OpenAPI + event schema, schema DB</t>
  </si>
  <si>
    <t xml:space="preserve">Monorepo, common lib, Docker Compose, event contract</t>
  </si>
  <si>
    <t xml:space="preserve">Schema account_db</t>
  </si>
  <si>
    <t xml:space="preserve">Schema content_db</t>
  </si>
  <si>
    <t xml:space="preserve">Xong auth và CRUD nội dung, các nhóm bắt đầu chạy song song</t>
  </si>
  <si>
    <t xml:space="preserve">CI/CD, Gateway routing + JWT</t>
  </si>
  <si>
    <t xml:space="preserve">Khung Notification, API thông báo</t>
  </si>
  <si>
    <t xml:space="preserve">Auth, RBAC, quản lý học viên, FE auth</t>
  </si>
  <si>
    <t xml:space="preserve">CRUD danh mục/bài học, FE danh sách</t>
  </si>
  <si>
    <t xml:space="preserve">Hỗ trợ UI kit</t>
  </si>
  <si>
    <t xml:space="preserve">Ghép luồng nghiệp vụ chính: học - kiểm tra - thanh toán</t>
  </si>
  <si>
    <t xml:space="preserve">Cron nhắc học, consumer, gợi ý rule-based</t>
  </si>
  <si>
    <t xml:space="preserve">Editor, sự kiện, checkout VNPay/Momo</t>
  </si>
  <si>
    <t xml:space="preserve">Quiz + chấm điểm, media, search, kiểm duyệt</t>
  </si>
  <si>
    <t xml:space="preserve">Comment/favorite/history, màn CRUD admin, seed data</t>
  </si>
  <si>
    <t xml:space="preserve">Hoàn thiện, tối ưu, kiểm thử tích hợp và viết báo cáo</t>
  </si>
  <si>
    <t xml:space="preserve">Rate limit, CSP, API thống kê, deploy VPS</t>
  </si>
  <si>
    <t xml:space="preserve">Nâng cấp gợi ý, unit test</t>
  </si>
  <si>
    <t xml:space="preserve">Webhook, Outbox, FE thanh toán</t>
  </si>
  <si>
    <t xml:space="preserve">Trình làm quiz, phân quyền nội dung</t>
  </si>
  <si>
    <t xml:space="preserve">Kiểm duyệt, dashboard, Newman, tài liệu</t>
  </si>
  <si>
    <t xml:space="preserve">Rủi ro cần chốt sớm</t>
  </si>
  <si>
    <t xml:space="preserve">- Account Service là nơi duy nhất giữ user_id chuẩn; các service khác chỉ lưu id, không JOIN cross-service.</t>
  </si>
  <si>
    <t xml:space="preserve">- Trạng thái VIP là eventual consistency: frontend phải xử lý được trường hợp thanh toán xong mà VIP chưa cập nhật ngay.</t>
  </si>
  <si>
    <t xml:space="preserve">- T09 (Gateway verify JWT) phụ thuộc T21 (Auth) - nếu Long trễ, Đức mock token để không bị chặn.</t>
  </si>
  <si>
    <t xml:space="preserve">- Cổng thanh toán chỉ dùng sandbox; chuẩn bị sẵn phương án mock webhook nếu sandbox lỗi khi demo.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</si>
</sst>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8">
    <font>
      <sz val="11.000000"/>
      <color theme="1"/>
      <name val="Calibri"/>
    </font>
    <font>
      <sz val="10.000000"/>
      <name val="Arial"/>
    </font>
    <font>
      <b/>
      <sz val="14.000000"/>
      <color rgb="FF1F3864"/>
      <name val="Arial"/>
    </font>
    <font>
      <sz val="11.000000"/>
      <name val="Arial"/>
    </font>
    <font>
      <b/>
      <sz val="12.000000"/>
      <color rgb="FF1F3864"/>
      <name val="Arial"/>
    </font>
    <font>
      <b/>
      <sz val="11.000000"/>
      <color indexed="65"/>
      <name val="Arial"/>
    </font>
    <font>
      <b/>
      <sz val="11.000000"/>
      <name val="Arial"/>
    </font>
    <font>
      <i/>
      <sz val="10.000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3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EDEDED"/>
        <bgColor rgb="FFE2EFDA"/>
      </patternFill>
    </fill>
    <fill>
      <patternFill patternType="solid">
        <fgColor indexed="5"/>
        <bgColor indexed="5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 style="none"/>
    </border>
  </borders>
  <cellStyleXfs count="6">
    <xf fontId="0" fillId="0" borderId="0" numFmtId="0" applyNumberFormat="1" applyFont="1" applyFill="1" applyBorder="1" applyProtection="1">
      <protection hidden="0" locked="1"/>
    </xf>
    <xf fontId="1" fillId="0" borderId="0" numFmtId="43" applyNumberFormat="1" applyFont="1" applyFill="1" applyBorder="0" applyProtection="0"/>
    <xf fontId="1" fillId="0" borderId="0" numFmtId="41" applyNumberFormat="1" applyFont="1" applyFill="1" applyBorder="0" applyProtection="0"/>
    <xf fontId="1" fillId="0" borderId="0" numFmtId="44" applyNumberFormat="1" applyFont="1" applyFill="1" applyBorder="0" applyProtection="0"/>
    <xf fontId="1" fillId="0" borderId="0" numFmtId="42" applyNumberFormat="1" applyFont="1" applyFill="1" applyBorder="0" applyProtection="0"/>
    <xf fontId="1" fillId="0" borderId="0" numFmtId="9" applyNumberFormat="1" applyFont="1" applyFill="1" applyBorder="0" applyProtection="0"/>
  </cellStyleXfs>
  <cellXfs count="21">
    <xf fontId="0" fillId="0" borderId="0" numFmtId="0" xfId="0" applyProtection="0">
      <protection hidden="0" locked="1"/>
    </xf>
    <xf fontId="2" fillId="0" borderId="0" numFmtId="0" xfId="0" applyFont="1" applyProtection="0">
      <protection hidden="0" locked="1"/>
    </xf>
    <xf fontId="3" fillId="0" borderId="0" numFmtId="0" xfId="0" applyFont="1" applyAlignment="1" applyProtection="0">
      <alignment vertical="top" wrapText="1"/>
      <protection hidden="0" locked="1"/>
    </xf>
    <xf fontId="3" fillId="0" borderId="0" numFmtId="0" xfId="0" applyFont="1" applyProtection="0">
      <protection hidden="0" locked="1"/>
    </xf>
    <xf fontId="4" fillId="0" borderId="0" numFmtId="0" xfId="0" applyFont="1" applyProtection="0">
      <protection hidden="0" locked="1"/>
    </xf>
    <xf fontId="5" fillId="2" borderId="1" numFmtId="0" xfId="0" applyFont="1" applyFill="1" applyBorder="1" applyAlignment="1" applyProtection="0">
      <alignment horizontal="center" vertical="center"/>
      <protection hidden="0" locked="1"/>
    </xf>
    <xf fontId="3" fillId="0" borderId="1" numFmtId="0" xfId="0" applyFont="1" applyBorder="1" applyAlignment="1" applyProtection="0">
      <alignment vertical="top" wrapText="1"/>
      <protection hidden="0" locked="1"/>
    </xf>
    <xf fontId="3" fillId="3" borderId="1" numFmtId="0" xfId="0" applyFont="1" applyFill="1" applyBorder="1" applyAlignment="1" applyProtection="0">
      <alignment vertical="top" wrapText="1"/>
      <protection hidden="0" locked="1"/>
    </xf>
    <xf fontId="3" fillId="0" borderId="1" numFmtId="0" xfId="0" applyFont="1" applyBorder="1" applyAlignment="1" applyProtection="0">
      <alignment horizontal="center" vertical="center"/>
      <protection hidden="0" locked="1"/>
    </xf>
    <xf fontId="3" fillId="4" borderId="1" numFmtId="0" xfId="0" applyFont="1" applyFill="1" applyBorder="1" applyAlignment="1" applyProtection="0">
      <alignment vertical="top" wrapText="1"/>
      <protection hidden="0" locked="1"/>
    </xf>
    <xf fontId="3" fillId="5" borderId="1" numFmtId="0" xfId="0" applyFont="1" applyFill="1" applyBorder="1" applyAlignment="1" applyProtection="0">
      <alignment vertical="top" wrapText="1"/>
      <protection hidden="0" locked="1"/>
    </xf>
    <xf fontId="3" fillId="6" borderId="1" numFmtId="0" xfId="0" applyFont="1" applyFill="1" applyBorder="1" applyAlignment="1" applyProtection="0">
      <alignment vertical="top" wrapText="1"/>
      <protection hidden="0" locked="1"/>
    </xf>
    <xf fontId="3" fillId="7" borderId="1" numFmtId="0" xfId="0" applyFont="1" applyFill="1" applyBorder="1" applyAlignment="1" applyProtection="0">
      <alignment vertical="top" wrapText="1"/>
      <protection hidden="0" locked="1"/>
    </xf>
    <xf fontId="6" fillId="0" borderId="1" numFmtId="0" xfId="0" applyFont="1" applyBorder="1" applyProtection="0">
      <protection hidden="0" locked="1"/>
    </xf>
    <xf fontId="6" fillId="0" borderId="1" numFmtId="0" xfId="0" applyFont="1" applyBorder="1" applyAlignment="1" applyProtection="0">
      <alignment horizontal="center" vertical="center"/>
      <protection hidden="0" locked="1"/>
    </xf>
    <xf fontId="7" fillId="0" borderId="0" numFmtId="0" xfId="0" applyFont="1" applyProtection="0">
      <protection hidden="0" locked="1"/>
    </xf>
    <xf fontId="3" fillId="8" borderId="1" numFmtId="0" xfId="0" applyFont="1" applyFill="1" applyBorder="1" applyAlignment="1" applyProtection="0">
      <alignment horizontal="center" vertical="center"/>
      <protection hidden="0" locked="1"/>
    </xf>
    <xf fontId="3" fillId="8" borderId="1" numFmtId="0" xfId="0" applyFont="1" applyFill="1" applyBorder="1" applyProtection="0">
      <protection hidden="0" locked="1"/>
    </xf>
    <xf fontId="3" fillId="0" borderId="1" numFmtId="0" xfId="0" applyFont="1" applyBorder="1" applyAlignment="1" applyProtection="0">
      <alignment wrapText="1"/>
      <protection hidden="0" locked="1"/>
    </xf>
    <xf fontId="3" fillId="8" borderId="1" numFmtId="0" xfId="0" applyFont="1" applyFill="1" applyBorder="1" applyAlignment="1" applyProtection="0">
      <alignment vertical="top" wrapText="1"/>
      <protection hidden="0" locked="1"/>
    </xf>
    <xf fontId="6" fillId="0" borderId="0" numFmtId="0" xfId="0" applyFont="1" applyProtection="0">
      <protection hidden="0" locked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zoomScale="100" workbookViewId="0">
      <selection activeCell="A1" activeCellId="0" sqref="A1"/>
    </sheetView>
  </sheetViews>
  <sheetFormatPr defaultColWidth="8.6796875" defaultRowHeight="14.25"/>
  <cols>
    <col customWidth="1" min="1" max="1" style="0" width="30"/>
    <col customWidth="1" min="2" max="2" style="0" width="95"/>
  </cols>
  <sheetData>
    <row r="1" ht="16.5">
      <c r="A1" s="1" t="s">
        <v>0</v>
      </c>
      <c r="B1" s="2"/>
    </row>
    <row r="2" ht="15">
      <c r="A2" s="3"/>
      <c r="B2" s="2"/>
    </row>
    <row r="3" ht="15">
      <c r="A3" s="4" t="s">
        <v>1</v>
      </c>
      <c r="B3" s="2"/>
    </row>
    <row r="4" ht="28.5">
      <c r="A4" s="3" t="s">
        <v>2</v>
      </c>
      <c r="B4" s="2" t="s">
        <v>3</v>
      </c>
    </row>
    <row r="5" ht="15">
      <c r="A5" s="3" t="s">
        <v>4</v>
      </c>
      <c r="B5" s="2" t="s">
        <v>5</v>
      </c>
    </row>
    <row r="6" ht="15">
      <c r="A6" s="3" t="s">
        <v>6</v>
      </c>
      <c r="B6" s="2" t="s">
        <v>7</v>
      </c>
    </row>
    <row r="7" ht="15">
      <c r="A7" s="3" t="s">
        <v>8</v>
      </c>
      <c r="B7" s="2" t="s">
        <v>9</v>
      </c>
    </row>
    <row r="8" ht="15">
      <c r="A8" s="3"/>
      <c r="B8" s="2"/>
    </row>
    <row r="9" ht="15">
      <c r="A9" s="4" t="s">
        <v>10</v>
      </c>
      <c r="B9" s="2"/>
    </row>
    <row r="10" ht="15">
      <c r="A10" s="3" t="s">
        <v>11</v>
      </c>
      <c r="B10" s="2" t="s">
        <v>12</v>
      </c>
    </row>
    <row r="11" ht="15">
      <c r="A11" s="3" t="s">
        <v>13</v>
      </c>
      <c r="B11" s="2" t="s">
        <v>14</v>
      </c>
    </row>
    <row r="12" ht="15">
      <c r="A12" s="3" t="s">
        <v>15</v>
      </c>
      <c r="B12" s="2" t="s">
        <v>16</v>
      </c>
    </row>
    <row r="13" ht="15">
      <c r="A13" s="3" t="s">
        <v>17</v>
      </c>
      <c r="B13" s="2" t="s">
        <v>18</v>
      </c>
    </row>
    <row r="14" ht="15">
      <c r="A14" s="3"/>
      <c r="B14" s="2"/>
    </row>
    <row r="15" ht="15">
      <c r="A15" s="4" t="s">
        <v>19</v>
      </c>
      <c r="B15" s="2"/>
    </row>
    <row r="16" ht="15">
      <c r="A16" s="3" t="s">
        <v>20</v>
      </c>
      <c r="B16" s="2" t="s">
        <v>21</v>
      </c>
    </row>
    <row r="17" ht="15">
      <c r="A17" s="3" t="s">
        <v>22</v>
      </c>
      <c r="B17" s="2" t="s">
        <v>23</v>
      </c>
    </row>
    <row r="18" ht="15">
      <c r="A18" s="3" t="s">
        <v>24</v>
      </c>
      <c r="B18" s="2" t="s">
        <v>25</v>
      </c>
    </row>
    <row r="19" ht="15">
      <c r="A19" s="3" t="s">
        <v>26</v>
      </c>
      <c r="B19" s="2" t="s">
        <v>27</v>
      </c>
    </row>
    <row r="20" ht="15">
      <c r="A20" s="3" t="s">
        <v>28</v>
      </c>
      <c r="B20" s="2" t="s">
        <v>29</v>
      </c>
    </row>
  </sheetData>
  <printOptions headings="0" gridLines="0" horizontalCentered="0" verticalCentered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zoomScale="100" workbookViewId="0">
      <selection activeCell="A1" activeCellId="0" sqref="A1"/>
    </sheetView>
  </sheetViews>
  <sheetFormatPr defaultColWidth="8.6796875" defaultRowHeight="15"/>
  <cols>
    <col customWidth="1" min="1" max="1" style="0" width="8"/>
    <col customWidth="1" min="2" max="2" style="0" width="34"/>
    <col customWidth="1" min="3" max="3" style="0" width="18"/>
    <col customWidth="1" min="4" max="4" style="0" width="62"/>
    <col customWidth="1" min="5" max="5" style="0" width="26"/>
    <col customWidth="1" min="6" max="6" style="0" width="12"/>
  </cols>
  <sheetData>
    <row r="1" ht="17.350000000000001">
      <c r="A1" s="1" t="s">
        <v>30</v>
      </c>
    </row>
    <row r="3" ht="15">
      <c r="A3" s="5" t="s">
        <v>31</v>
      </c>
      <c r="B3" s="5" t="s">
        <v>32</v>
      </c>
      <c r="C3" s="5" t="s">
        <v>33</v>
      </c>
      <c r="D3" s="5" t="s">
        <v>34</v>
      </c>
      <c r="E3" s="5" t="s">
        <v>35</v>
      </c>
      <c r="F3" s="5" t="s">
        <v>36</v>
      </c>
    </row>
    <row r="4" ht="26.850000000000001">
      <c r="A4" s="6" t="s">
        <v>37</v>
      </c>
      <c r="B4" s="6" t="s">
        <v>38</v>
      </c>
      <c r="C4" s="7" t="s">
        <v>20</v>
      </c>
      <c r="D4" s="6" t="s">
        <v>39</v>
      </c>
      <c r="E4" s="6" t="s">
        <v>40</v>
      </c>
      <c r="F4" s="8">
        <f>SUMIF('Task chi tiết'!$B:$B,$A4,'Task chi tiết'!$G:$G)</f>
        <v>11</v>
      </c>
    </row>
    <row r="5" ht="26.850000000000001">
      <c r="A5" s="6" t="s">
        <v>41</v>
      </c>
      <c r="B5" s="6" t="s">
        <v>42</v>
      </c>
      <c r="C5" s="7" t="s">
        <v>20</v>
      </c>
      <c r="D5" s="6" t="s">
        <v>43</v>
      </c>
      <c r="E5" s="6" t="s">
        <v>44</v>
      </c>
      <c r="F5" s="8">
        <f>SUMIF('Task chi tiết'!$B:$B,$A5,'Task chi tiết'!$G:$G)</f>
        <v>7</v>
      </c>
    </row>
    <row r="6" ht="26.850000000000001">
      <c r="A6" s="6" t="s">
        <v>45</v>
      </c>
      <c r="B6" s="6" t="s">
        <v>46</v>
      </c>
      <c r="C6" s="9" t="s">
        <v>22</v>
      </c>
      <c r="D6" s="6" t="s">
        <v>47</v>
      </c>
      <c r="E6" s="6" t="s">
        <v>48</v>
      </c>
      <c r="F6" s="8">
        <f>SUMIF('Task chi tiết'!$B:$B,$A6,'Task chi tiết'!$G:$G)</f>
        <v>15</v>
      </c>
    </row>
    <row r="7" ht="26.850000000000001">
      <c r="A7" s="6" t="s">
        <v>49</v>
      </c>
      <c r="B7" s="6" t="s">
        <v>50</v>
      </c>
      <c r="C7" s="10" t="s">
        <v>24</v>
      </c>
      <c r="D7" s="6" t="s">
        <v>51</v>
      </c>
      <c r="E7" s="6" t="s">
        <v>52</v>
      </c>
      <c r="F7" s="8">
        <f>SUMIF('Task chi tiết'!$B:$B,$A7,'Task chi tiết'!$G:$G)</f>
        <v>13</v>
      </c>
    </row>
    <row r="8" ht="15">
      <c r="A8" s="6" t="s">
        <v>53</v>
      </c>
      <c r="B8" s="6" t="s">
        <v>54</v>
      </c>
      <c r="C8" s="10" t="s">
        <v>24</v>
      </c>
      <c r="D8" s="6" t="s">
        <v>55</v>
      </c>
      <c r="E8" s="6" t="s">
        <v>56</v>
      </c>
      <c r="F8" s="8">
        <f>SUMIF('Task chi tiết'!$B:$B,$A8,'Task chi tiết'!$G:$G)</f>
        <v>13</v>
      </c>
    </row>
    <row r="9" ht="26.850000000000001">
      <c r="A9" s="6" t="s">
        <v>57</v>
      </c>
      <c r="B9" s="6" t="s">
        <v>58</v>
      </c>
      <c r="C9" s="11" t="s">
        <v>26</v>
      </c>
      <c r="D9" s="6" t="s">
        <v>59</v>
      </c>
      <c r="E9" s="6" t="s">
        <v>60</v>
      </c>
      <c r="F9" s="8">
        <f>SUMIF('Task chi tiết'!$B:$B,$A9,'Task chi tiết'!$G:$G)</f>
        <v>12</v>
      </c>
    </row>
    <row r="10" ht="15">
      <c r="A10" s="6" t="s">
        <v>61</v>
      </c>
      <c r="B10" s="6" t="s">
        <v>62</v>
      </c>
      <c r="C10" s="11" t="s">
        <v>26</v>
      </c>
      <c r="D10" s="6" t="s">
        <v>63</v>
      </c>
      <c r="E10" s="6" t="s">
        <v>64</v>
      </c>
      <c r="F10" s="8">
        <f>SUMIF('Task chi tiết'!$B:$B,$A10,'Task chi tiết'!$G:$G)</f>
        <v>14</v>
      </c>
    </row>
    <row r="11" ht="26.850000000000001">
      <c r="A11" s="6" t="s">
        <v>65</v>
      </c>
      <c r="B11" s="6" t="s">
        <v>66</v>
      </c>
      <c r="C11" s="12" t="s">
        <v>28</v>
      </c>
      <c r="D11" s="6" t="s">
        <v>67</v>
      </c>
      <c r="E11" s="6" t="s">
        <v>68</v>
      </c>
      <c r="F11" s="8">
        <f>SUMIF('Task chi tiết'!$B:$B,$A11,'Task chi tiết'!$G:$G)</f>
        <v>23</v>
      </c>
    </row>
    <row r="12" ht="15">
      <c r="E12" s="13" t="s">
        <v>69</v>
      </c>
      <c r="F12" s="14">
        <f>SUM(F4:F11)</f>
        <v>108</v>
      </c>
    </row>
    <row r="14" ht="15">
      <c r="A14" s="15" t="s">
        <v>70</v>
      </c>
    </row>
  </sheetData>
  <printOptions headings="0" gridLines="0" horizontalCentered="0" verticalCentered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topLeftCell="A1" zoomScale="100" workbookViewId="0">
      <pane ySplit="3" topLeftCell="A4" activePane="bottomLeft" state="frozen"/>
      <selection activeCell="A1" activeCellId="0" sqref="A1"/>
    </sheetView>
  </sheetViews>
  <sheetFormatPr defaultColWidth="8.6796875" defaultRowHeight="15"/>
  <cols>
    <col customWidth="1" min="1" max="1" style="0" width="7"/>
    <col customWidth="1" min="2" max="2" style="0" width="8"/>
    <col customWidth="1" min="3" max="3" style="0" width="18"/>
    <col customWidth="1" min="4" max="4" style="0" width="66"/>
    <col customWidth="1" min="5" max="5" style="0" width="16"/>
    <col customWidth="1" min="6" max="6" style="0" width="10"/>
    <col customWidth="1" min="7" max="7" style="0" width="12"/>
    <col customWidth="1" min="8" max="8" style="0" width="13"/>
    <col customWidth="1" min="9" max="9" style="0" width="14"/>
    <col customWidth="1" min="10" max="10" style="0" width="15"/>
    <col customWidth="1" min="11" max="11" style="0" width="24"/>
  </cols>
  <sheetData>
    <row r="1" ht="17.350000000000001">
      <c r="A1" s="1" t="s">
        <v>71</v>
      </c>
    </row>
    <row r="3" ht="15">
      <c r="A3" s="5" t="s">
        <v>72</v>
      </c>
      <c r="B3" s="5" t="s">
        <v>32</v>
      </c>
      <c r="C3" s="5" t="s">
        <v>73</v>
      </c>
      <c r="D3" s="5" t="s">
        <v>74</v>
      </c>
      <c r="E3" s="5" t="s">
        <v>33</v>
      </c>
      <c r="F3" s="5" t="s">
        <v>75</v>
      </c>
      <c r="G3" s="5" t="s">
        <v>76</v>
      </c>
      <c r="H3" s="5" t="s">
        <v>15</v>
      </c>
      <c r="I3" s="5" t="s">
        <v>77</v>
      </c>
      <c r="J3" s="5" t="s">
        <v>78</v>
      </c>
      <c r="K3" s="5" t="s">
        <v>79</v>
      </c>
    </row>
    <row r="4" ht="26.850000000000001">
      <c r="A4" s="6" t="s">
        <v>80</v>
      </c>
      <c r="B4" s="6" t="s">
        <v>37</v>
      </c>
      <c r="C4" s="6" t="s">
        <v>81</v>
      </c>
      <c r="D4" s="6" t="s">
        <v>82</v>
      </c>
      <c r="E4" s="7" t="s">
        <v>20</v>
      </c>
      <c r="F4" s="8" t="s">
        <v>83</v>
      </c>
      <c r="G4" s="8">
        <v>1</v>
      </c>
      <c r="H4" s="8" t="s">
        <v>84</v>
      </c>
      <c r="I4" s="6" t="s">
        <v>40</v>
      </c>
      <c r="J4" s="16" t="s">
        <v>85</v>
      </c>
      <c r="K4" s="17"/>
    </row>
    <row r="5" ht="26.850000000000001">
      <c r="A5" s="6" t="s">
        <v>86</v>
      </c>
      <c r="B5" s="6" t="s">
        <v>37</v>
      </c>
      <c r="C5" s="6" t="s">
        <v>87</v>
      </c>
      <c r="D5" s="6" t="s">
        <v>88</v>
      </c>
      <c r="E5" s="7" t="s">
        <v>20</v>
      </c>
      <c r="F5" s="8" t="s">
        <v>83</v>
      </c>
      <c r="G5" s="8">
        <v>2</v>
      </c>
      <c r="H5" s="8" t="s">
        <v>84</v>
      </c>
      <c r="I5" s="6" t="s">
        <v>80</v>
      </c>
      <c r="J5" s="16" t="s">
        <v>85</v>
      </c>
      <c r="K5" s="17"/>
    </row>
    <row r="6" ht="26.850000000000001">
      <c r="A6" s="6" t="s">
        <v>89</v>
      </c>
      <c r="B6" s="6" t="s">
        <v>37</v>
      </c>
      <c r="C6" s="6" t="s">
        <v>90</v>
      </c>
      <c r="D6" s="6" t="s">
        <v>91</v>
      </c>
      <c r="E6" s="7" t="s">
        <v>20</v>
      </c>
      <c r="F6" s="8" t="s">
        <v>83</v>
      </c>
      <c r="G6" s="8">
        <v>2</v>
      </c>
      <c r="H6" s="8" t="s">
        <v>84</v>
      </c>
      <c r="I6" s="6" t="s">
        <v>80</v>
      </c>
      <c r="J6" s="16" t="s">
        <v>85</v>
      </c>
      <c r="K6" s="17"/>
    </row>
    <row r="7" ht="26.850000000000001">
      <c r="A7" s="6" t="s">
        <v>92</v>
      </c>
      <c r="B7" s="6" t="s">
        <v>37</v>
      </c>
      <c r="C7" s="6" t="s">
        <v>93</v>
      </c>
      <c r="D7" s="6" t="s">
        <v>94</v>
      </c>
      <c r="E7" s="7" t="s">
        <v>20</v>
      </c>
      <c r="F7" s="8" t="s">
        <v>83</v>
      </c>
      <c r="G7" s="8">
        <v>1</v>
      </c>
      <c r="H7" s="8" t="s">
        <v>84</v>
      </c>
      <c r="I7" s="6" t="s">
        <v>40</v>
      </c>
      <c r="J7" s="16" t="s">
        <v>85</v>
      </c>
      <c r="K7" s="17"/>
    </row>
    <row r="8" ht="15">
      <c r="A8" s="6" t="s">
        <v>95</v>
      </c>
      <c r="B8" s="6" t="s">
        <v>37</v>
      </c>
      <c r="C8" s="6" t="s">
        <v>96</v>
      </c>
      <c r="D8" s="6" t="s">
        <v>97</v>
      </c>
      <c r="E8" s="7" t="s">
        <v>20</v>
      </c>
      <c r="F8" s="8" t="s">
        <v>98</v>
      </c>
      <c r="G8" s="8">
        <v>2</v>
      </c>
      <c r="H8" s="8" t="s">
        <v>99</v>
      </c>
      <c r="I8" s="6" t="s">
        <v>89</v>
      </c>
      <c r="J8" s="16" t="s">
        <v>85</v>
      </c>
      <c r="K8" s="17"/>
    </row>
    <row r="9" ht="15">
      <c r="A9" s="6" t="s">
        <v>100</v>
      </c>
      <c r="B9" s="6" t="s">
        <v>37</v>
      </c>
      <c r="C9" s="6" t="s">
        <v>101</v>
      </c>
      <c r="D9" s="6" t="s">
        <v>102</v>
      </c>
      <c r="E9" s="7" t="s">
        <v>20</v>
      </c>
      <c r="F9" s="8" t="s">
        <v>98</v>
      </c>
      <c r="G9" s="8">
        <v>2</v>
      </c>
      <c r="H9" s="8" t="s">
        <v>99</v>
      </c>
      <c r="I9" s="6" t="s">
        <v>95</v>
      </c>
      <c r="J9" s="16" t="s">
        <v>85</v>
      </c>
      <c r="K9" s="17"/>
    </row>
    <row r="10" ht="15">
      <c r="A10" s="6" t="s">
        <v>103</v>
      </c>
      <c r="B10" s="6" t="s">
        <v>37</v>
      </c>
      <c r="C10" s="6" t="s">
        <v>104</v>
      </c>
      <c r="D10" s="6" t="s">
        <v>105</v>
      </c>
      <c r="E10" s="7" t="s">
        <v>20</v>
      </c>
      <c r="F10" s="8" t="s">
        <v>98</v>
      </c>
      <c r="G10" s="8">
        <v>1</v>
      </c>
      <c r="H10" s="8" t="s">
        <v>106</v>
      </c>
      <c r="I10" s="6" t="s">
        <v>86</v>
      </c>
      <c r="J10" s="16" t="s">
        <v>85</v>
      </c>
      <c r="K10" s="17"/>
    </row>
    <row r="11" ht="15">
      <c r="A11" s="6" t="s">
        <v>107</v>
      </c>
      <c r="B11" s="6" t="s">
        <v>41</v>
      </c>
      <c r="C11" s="6" t="s">
        <v>108</v>
      </c>
      <c r="D11" s="6" t="s">
        <v>109</v>
      </c>
      <c r="E11" s="7" t="s">
        <v>20</v>
      </c>
      <c r="F11" s="8" t="s">
        <v>98</v>
      </c>
      <c r="G11" s="8">
        <v>2</v>
      </c>
      <c r="H11" s="8" t="s">
        <v>84</v>
      </c>
      <c r="I11" s="6" t="s">
        <v>86</v>
      </c>
      <c r="J11" s="16" t="s">
        <v>85</v>
      </c>
      <c r="K11" s="17"/>
    </row>
    <row r="12" ht="15">
      <c r="A12" s="6" t="s">
        <v>110</v>
      </c>
      <c r="B12" s="6" t="s">
        <v>41</v>
      </c>
      <c r="C12" s="6" t="s">
        <v>108</v>
      </c>
      <c r="D12" s="6" t="s">
        <v>111</v>
      </c>
      <c r="E12" s="7" t="s">
        <v>20</v>
      </c>
      <c r="F12" s="8" t="s">
        <v>98</v>
      </c>
      <c r="G12" s="8">
        <v>2</v>
      </c>
      <c r="H12" s="8" t="s">
        <v>84</v>
      </c>
      <c r="I12" s="6" t="s">
        <v>112</v>
      </c>
      <c r="J12" s="16" t="s">
        <v>85</v>
      </c>
      <c r="K12" s="17"/>
    </row>
    <row r="13" ht="15">
      <c r="A13" s="6" t="s">
        <v>113</v>
      </c>
      <c r="B13" s="6" t="s">
        <v>41</v>
      </c>
      <c r="C13" s="6" t="s">
        <v>114</v>
      </c>
      <c r="D13" s="6" t="s">
        <v>115</v>
      </c>
      <c r="E13" s="7" t="s">
        <v>20</v>
      </c>
      <c r="F13" s="8" t="s">
        <v>116</v>
      </c>
      <c r="G13" s="8">
        <v>1</v>
      </c>
      <c r="H13" s="8" t="s">
        <v>99</v>
      </c>
      <c r="I13" s="6" t="s">
        <v>107</v>
      </c>
      <c r="J13" s="16" t="s">
        <v>85</v>
      </c>
      <c r="K13" s="17"/>
    </row>
    <row r="14" ht="26.850000000000001">
      <c r="A14" s="6" t="s">
        <v>117</v>
      </c>
      <c r="B14" s="6" t="s">
        <v>41</v>
      </c>
      <c r="C14" s="6" t="s">
        <v>118</v>
      </c>
      <c r="D14" s="6" t="s">
        <v>119</v>
      </c>
      <c r="E14" s="7" t="s">
        <v>20</v>
      </c>
      <c r="F14" s="8" t="s">
        <v>116</v>
      </c>
      <c r="G14" s="8">
        <v>2</v>
      </c>
      <c r="H14" s="8" t="s">
        <v>99</v>
      </c>
      <c r="I14" s="6" t="s">
        <v>107</v>
      </c>
      <c r="J14" s="16" t="s">
        <v>85</v>
      </c>
      <c r="K14" s="17"/>
    </row>
    <row r="15" ht="15">
      <c r="A15" s="6" t="s">
        <v>120</v>
      </c>
      <c r="B15" s="6" t="s">
        <v>45</v>
      </c>
      <c r="C15" s="6" t="s">
        <v>121</v>
      </c>
      <c r="D15" s="6" t="s">
        <v>122</v>
      </c>
      <c r="E15" s="9" t="s">
        <v>22</v>
      </c>
      <c r="F15" s="8" t="s">
        <v>98</v>
      </c>
      <c r="G15" s="8">
        <v>1</v>
      </c>
      <c r="H15" s="8" t="s">
        <v>99</v>
      </c>
      <c r="I15" s="6" t="s">
        <v>89</v>
      </c>
      <c r="J15" s="16" t="s">
        <v>85</v>
      </c>
      <c r="K15" s="17"/>
    </row>
    <row r="16" ht="15">
      <c r="A16" s="6" t="s">
        <v>123</v>
      </c>
      <c r="B16" s="6" t="s">
        <v>45</v>
      </c>
      <c r="C16" s="6" t="s">
        <v>124</v>
      </c>
      <c r="D16" s="6" t="s">
        <v>125</v>
      </c>
      <c r="E16" s="9" t="s">
        <v>22</v>
      </c>
      <c r="F16" s="8" t="s">
        <v>98</v>
      </c>
      <c r="G16" s="8">
        <v>2</v>
      </c>
      <c r="H16" s="8" t="s">
        <v>99</v>
      </c>
      <c r="I16" s="6" t="s">
        <v>120</v>
      </c>
      <c r="J16" s="16" t="s">
        <v>85</v>
      </c>
      <c r="K16" s="17"/>
    </row>
    <row r="17" ht="26.850000000000001">
      <c r="A17" s="6" t="s">
        <v>126</v>
      </c>
      <c r="B17" s="6" t="s">
        <v>45</v>
      </c>
      <c r="C17" s="6" t="s">
        <v>127</v>
      </c>
      <c r="D17" s="6" t="s">
        <v>128</v>
      </c>
      <c r="E17" s="9" t="s">
        <v>22</v>
      </c>
      <c r="F17" s="8" t="s">
        <v>129</v>
      </c>
      <c r="G17" s="8">
        <v>2</v>
      </c>
      <c r="H17" s="8" t="s">
        <v>84</v>
      </c>
      <c r="I17" s="6" t="s">
        <v>130</v>
      </c>
      <c r="J17" s="16" t="s">
        <v>85</v>
      </c>
      <c r="K17" s="17"/>
    </row>
    <row r="18" ht="15">
      <c r="A18" s="6" t="s">
        <v>131</v>
      </c>
      <c r="B18" s="6" t="s">
        <v>45</v>
      </c>
      <c r="C18" s="6" t="s">
        <v>132</v>
      </c>
      <c r="D18" s="6" t="s">
        <v>133</v>
      </c>
      <c r="E18" s="9" t="s">
        <v>22</v>
      </c>
      <c r="F18" s="8" t="s">
        <v>129</v>
      </c>
      <c r="G18" s="8">
        <v>2</v>
      </c>
      <c r="H18" s="8" t="s">
        <v>99</v>
      </c>
      <c r="I18" s="6" t="s">
        <v>120</v>
      </c>
      <c r="J18" s="16" t="s">
        <v>85</v>
      </c>
      <c r="K18" s="17"/>
    </row>
    <row r="19" ht="26.850000000000001">
      <c r="A19" s="6" t="s">
        <v>134</v>
      </c>
      <c r="B19" s="6" t="s">
        <v>45</v>
      </c>
      <c r="C19" s="6" t="s">
        <v>135</v>
      </c>
      <c r="D19" s="6" t="s">
        <v>136</v>
      </c>
      <c r="E19" s="9" t="s">
        <v>22</v>
      </c>
      <c r="F19" s="8" t="s">
        <v>129</v>
      </c>
      <c r="G19" s="8">
        <v>2</v>
      </c>
      <c r="H19" s="8" t="s">
        <v>84</v>
      </c>
      <c r="I19" s="6" t="s">
        <v>137</v>
      </c>
      <c r="J19" s="16" t="s">
        <v>85</v>
      </c>
      <c r="K19" s="17"/>
    </row>
    <row r="20" ht="15">
      <c r="A20" s="6" t="s">
        <v>138</v>
      </c>
      <c r="B20" s="6" t="s">
        <v>45</v>
      </c>
      <c r="C20" s="6" t="s">
        <v>139</v>
      </c>
      <c r="D20" s="6" t="s">
        <v>140</v>
      </c>
      <c r="E20" s="9" t="s">
        <v>22</v>
      </c>
      <c r="F20" s="8" t="s">
        <v>129</v>
      </c>
      <c r="G20" s="8">
        <v>2</v>
      </c>
      <c r="H20" s="8" t="s">
        <v>99</v>
      </c>
      <c r="I20" s="6" t="s">
        <v>141</v>
      </c>
      <c r="J20" s="16" t="s">
        <v>85</v>
      </c>
      <c r="K20" s="17"/>
    </row>
    <row r="21" ht="26.850000000000001">
      <c r="A21" s="6" t="s">
        <v>142</v>
      </c>
      <c r="B21" s="6" t="s">
        <v>45</v>
      </c>
      <c r="C21" s="6" t="s">
        <v>139</v>
      </c>
      <c r="D21" s="6" t="s">
        <v>143</v>
      </c>
      <c r="E21" s="9" t="s">
        <v>22</v>
      </c>
      <c r="F21" s="8" t="s">
        <v>116</v>
      </c>
      <c r="G21" s="8">
        <v>3</v>
      </c>
      <c r="H21" s="8" t="s">
        <v>106</v>
      </c>
      <c r="I21" s="6" t="s">
        <v>138</v>
      </c>
      <c r="J21" s="16" t="s">
        <v>85</v>
      </c>
      <c r="K21" s="17"/>
    </row>
    <row r="22" ht="15">
      <c r="A22" s="6" t="s">
        <v>144</v>
      </c>
      <c r="B22" s="6" t="s">
        <v>45</v>
      </c>
      <c r="C22" s="6" t="s">
        <v>145</v>
      </c>
      <c r="D22" s="6" t="s">
        <v>146</v>
      </c>
      <c r="E22" s="9" t="s">
        <v>22</v>
      </c>
      <c r="F22" s="8" t="s">
        <v>116</v>
      </c>
      <c r="G22" s="8">
        <v>1</v>
      </c>
      <c r="H22" s="8" t="s">
        <v>106</v>
      </c>
      <c r="I22" s="6" t="s">
        <v>123</v>
      </c>
      <c r="J22" s="16" t="s">
        <v>85</v>
      </c>
      <c r="K22" s="17"/>
    </row>
    <row r="23" ht="15">
      <c r="A23" s="6" t="s">
        <v>147</v>
      </c>
      <c r="B23" s="6" t="s">
        <v>49</v>
      </c>
      <c r="C23" s="6" t="s">
        <v>148</v>
      </c>
      <c r="D23" s="6" t="s">
        <v>149</v>
      </c>
      <c r="E23" s="10" t="s">
        <v>24</v>
      </c>
      <c r="F23" s="8" t="s">
        <v>83</v>
      </c>
      <c r="G23" s="8">
        <v>1</v>
      </c>
      <c r="H23" s="8" t="s">
        <v>84</v>
      </c>
      <c r="I23" s="6" t="s">
        <v>89</v>
      </c>
      <c r="J23" s="16" t="s">
        <v>85</v>
      </c>
      <c r="K23" s="17"/>
    </row>
    <row r="24" ht="15">
      <c r="A24" s="6" t="s">
        <v>112</v>
      </c>
      <c r="B24" s="6" t="s">
        <v>49</v>
      </c>
      <c r="C24" s="6" t="s">
        <v>150</v>
      </c>
      <c r="D24" s="6" t="s">
        <v>151</v>
      </c>
      <c r="E24" s="10" t="s">
        <v>24</v>
      </c>
      <c r="F24" s="8" t="s">
        <v>98</v>
      </c>
      <c r="G24" s="8">
        <v>3</v>
      </c>
      <c r="H24" s="8" t="s">
        <v>84</v>
      </c>
      <c r="I24" s="6" t="s">
        <v>147</v>
      </c>
      <c r="J24" s="16" t="s">
        <v>85</v>
      </c>
      <c r="K24" s="17"/>
    </row>
    <row r="25" ht="15">
      <c r="A25" s="6" t="s">
        <v>152</v>
      </c>
      <c r="B25" s="6" t="s">
        <v>49</v>
      </c>
      <c r="C25" s="6" t="s">
        <v>153</v>
      </c>
      <c r="D25" s="6" t="s">
        <v>154</v>
      </c>
      <c r="E25" s="10" t="s">
        <v>24</v>
      </c>
      <c r="F25" s="8" t="s">
        <v>98</v>
      </c>
      <c r="G25" s="8">
        <v>1</v>
      </c>
      <c r="H25" s="8" t="s">
        <v>99</v>
      </c>
      <c r="I25" s="6" t="s">
        <v>112</v>
      </c>
      <c r="J25" s="16" t="s">
        <v>85</v>
      </c>
      <c r="K25" s="17"/>
    </row>
    <row r="26" ht="15">
      <c r="A26" s="6" t="s">
        <v>155</v>
      </c>
      <c r="B26" s="6" t="s">
        <v>49</v>
      </c>
      <c r="C26" s="6" t="s">
        <v>156</v>
      </c>
      <c r="D26" s="6" t="s">
        <v>157</v>
      </c>
      <c r="E26" s="10" t="s">
        <v>24</v>
      </c>
      <c r="F26" s="8" t="s">
        <v>98</v>
      </c>
      <c r="G26" s="8">
        <v>2</v>
      </c>
      <c r="H26" s="8" t="s">
        <v>84</v>
      </c>
      <c r="I26" s="6" t="s">
        <v>112</v>
      </c>
      <c r="J26" s="16" t="s">
        <v>85</v>
      </c>
      <c r="K26" s="17"/>
    </row>
    <row r="27" ht="15">
      <c r="A27" s="6" t="s">
        <v>158</v>
      </c>
      <c r="B27" s="6" t="s">
        <v>49</v>
      </c>
      <c r="C27" s="6" t="s">
        <v>159</v>
      </c>
      <c r="D27" s="6" t="s">
        <v>160</v>
      </c>
      <c r="E27" s="10" t="s">
        <v>24</v>
      </c>
      <c r="F27" s="8" t="s">
        <v>129</v>
      </c>
      <c r="G27" s="8">
        <v>2</v>
      </c>
      <c r="H27" s="8" t="s">
        <v>84</v>
      </c>
      <c r="I27" s="6" t="s">
        <v>155</v>
      </c>
      <c r="J27" s="16" t="s">
        <v>85</v>
      </c>
      <c r="K27" s="17"/>
    </row>
    <row r="28" ht="15">
      <c r="A28" s="6" t="s">
        <v>161</v>
      </c>
      <c r="B28" s="6" t="s">
        <v>49</v>
      </c>
      <c r="C28" s="6" t="s">
        <v>162</v>
      </c>
      <c r="D28" s="6" t="s">
        <v>163</v>
      </c>
      <c r="E28" s="10" t="s">
        <v>24</v>
      </c>
      <c r="F28" s="8" t="s">
        <v>129</v>
      </c>
      <c r="G28" s="8">
        <v>1</v>
      </c>
      <c r="H28" s="8" t="s">
        <v>99</v>
      </c>
      <c r="I28" s="6" t="s">
        <v>155</v>
      </c>
      <c r="J28" s="16" t="s">
        <v>85</v>
      </c>
      <c r="K28" s="17"/>
    </row>
    <row r="29" ht="26.850000000000001">
      <c r="A29" s="6" t="s">
        <v>164</v>
      </c>
      <c r="B29" s="6" t="s">
        <v>49</v>
      </c>
      <c r="C29" s="6" t="s">
        <v>165</v>
      </c>
      <c r="D29" s="6" t="s">
        <v>166</v>
      </c>
      <c r="E29" s="10" t="s">
        <v>24</v>
      </c>
      <c r="F29" s="8" t="s">
        <v>129</v>
      </c>
      <c r="G29" s="8">
        <v>2</v>
      </c>
      <c r="H29" s="8" t="s">
        <v>84</v>
      </c>
      <c r="I29" s="6" t="s">
        <v>92</v>
      </c>
      <c r="J29" s="16" t="s">
        <v>85</v>
      </c>
      <c r="K29" s="17"/>
    </row>
    <row r="30" ht="26.850000000000001">
      <c r="A30" s="6" t="s">
        <v>167</v>
      </c>
      <c r="B30" s="6" t="s">
        <v>49</v>
      </c>
      <c r="C30" s="6" t="s">
        <v>168</v>
      </c>
      <c r="D30" s="6" t="s">
        <v>169</v>
      </c>
      <c r="E30" s="10" t="s">
        <v>24</v>
      </c>
      <c r="F30" s="8" t="s">
        <v>116</v>
      </c>
      <c r="G30" s="8">
        <v>1</v>
      </c>
      <c r="H30" s="8" t="s">
        <v>99</v>
      </c>
      <c r="I30" s="6" t="s">
        <v>164</v>
      </c>
      <c r="J30" s="16" t="s">
        <v>85</v>
      </c>
      <c r="K30" s="17"/>
    </row>
    <row r="31" ht="15">
      <c r="A31" s="6" t="s">
        <v>170</v>
      </c>
      <c r="B31" s="6" t="s">
        <v>53</v>
      </c>
      <c r="C31" s="6" t="s">
        <v>171</v>
      </c>
      <c r="D31" s="6" t="s">
        <v>172</v>
      </c>
      <c r="E31" s="10" t="s">
        <v>24</v>
      </c>
      <c r="F31" s="8" t="s">
        <v>129</v>
      </c>
      <c r="G31" s="8">
        <v>1</v>
      </c>
      <c r="H31" s="8" t="s">
        <v>84</v>
      </c>
      <c r="I31" s="6" t="s">
        <v>89</v>
      </c>
      <c r="J31" s="16" t="s">
        <v>85</v>
      </c>
      <c r="K31" s="17"/>
    </row>
    <row r="32" ht="26.850000000000001">
      <c r="A32" s="6" t="s">
        <v>173</v>
      </c>
      <c r="B32" s="6" t="s">
        <v>53</v>
      </c>
      <c r="C32" s="6" t="s">
        <v>174</v>
      </c>
      <c r="D32" s="6" t="s">
        <v>175</v>
      </c>
      <c r="E32" s="10" t="s">
        <v>24</v>
      </c>
      <c r="F32" s="8" t="s">
        <v>129</v>
      </c>
      <c r="G32" s="8">
        <v>3</v>
      </c>
      <c r="H32" s="8" t="s">
        <v>84</v>
      </c>
      <c r="I32" s="6" t="s">
        <v>170</v>
      </c>
      <c r="J32" s="16" t="s">
        <v>85</v>
      </c>
      <c r="K32" s="17"/>
    </row>
    <row r="33" ht="15">
      <c r="A33" s="6" t="s">
        <v>176</v>
      </c>
      <c r="B33" s="6" t="s">
        <v>53</v>
      </c>
      <c r="C33" s="6" t="s">
        <v>177</v>
      </c>
      <c r="D33" s="6" t="s">
        <v>178</v>
      </c>
      <c r="E33" s="10" t="s">
        <v>24</v>
      </c>
      <c r="F33" s="8" t="s">
        <v>116</v>
      </c>
      <c r="G33" s="8">
        <v>2</v>
      </c>
      <c r="H33" s="8" t="s">
        <v>84</v>
      </c>
      <c r="I33" s="6" t="s">
        <v>173</v>
      </c>
      <c r="J33" s="16" t="s">
        <v>85</v>
      </c>
      <c r="K33" s="17"/>
    </row>
    <row r="34" ht="26.850000000000001">
      <c r="A34" s="6" t="s">
        <v>179</v>
      </c>
      <c r="B34" s="6" t="s">
        <v>53</v>
      </c>
      <c r="C34" s="6" t="s">
        <v>180</v>
      </c>
      <c r="D34" s="6" t="s">
        <v>181</v>
      </c>
      <c r="E34" s="10" t="s">
        <v>24</v>
      </c>
      <c r="F34" s="8" t="s">
        <v>116</v>
      </c>
      <c r="G34" s="8">
        <v>3</v>
      </c>
      <c r="H34" s="8" t="s">
        <v>84</v>
      </c>
      <c r="I34" s="6" t="s">
        <v>176</v>
      </c>
      <c r="J34" s="16" t="s">
        <v>85</v>
      </c>
      <c r="K34" s="17"/>
    </row>
    <row r="35" ht="15">
      <c r="A35" s="6" t="s">
        <v>182</v>
      </c>
      <c r="B35" s="6" t="s">
        <v>53</v>
      </c>
      <c r="C35" s="6" t="s">
        <v>183</v>
      </c>
      <c r="D35" s="6" t="s">
        <v>184</v>
      </c>
      <c r="E35" s="10" t="s">
        <v>24</v>
      </c>
      <c r="F35" s="8" t="s">
        <v>98</v>
      </c>
      <c r="G35" s="8">
        <v>2</v>
      </c>
      <c r="H35" s="8" t="s">
        <v>84</v>
      </c>
      <c r="I35" s="6" t="s">
        <v>112</v>
      </c>
      <c r="J35" s="16" t="s">
        <v>85</v>
      </c>
      <c r="K35" s="17"/>
    </row>
    <row r="36" ht="26.850000000000001">
      <c r="A36" s="6" t="s">
        <v>185</v>
      </c>
      <c r="B36" s="6" t="s">
        <v>53</v>
      </c>
      <c r="C36" s="6" t="s">
        <v>183</v>
      </c>
      <c r="D36" s="6" t="s">
        <v>186</v>
      </c>
      <c r="E36" s="10" t="s">
        <v>24</v>
      </c>
      <c r="F36" s="8" t="s">
        <v>116</v>
      </c>
      <c r="G36" s="8">
        <v>2</v>
      </c>
      <c r="H36" s="8" t="s">
        <v>84</v>
      </c>
      <c r="I36" s="6" t="s">
        <v>173</v>
      </c>
      <c r="J36" s="16" t="s">
        <v>85</v>
      </c>
      <c r="K36" s="17"/>
    </row>
    <row r="37" ht="15">
      <c r="A37" s="6" t="s">
        <v>187</v>
      </c>
      <c r="B37" s="6" t="s">
        <v>57</v>
      </c>
      <c r="C37" s="6" t="s">
        <v>188</v>
      </c>
      <c r="D37" s="6" t="s">
        <v>189</v>
      </c>
      <c r="E37" s="11" t="s">
        <v>26</v>
      </c>
      <c r="F37" s="8" t="s">
        <v>83</v>
      </c>
      <c r="G37" s="8">
        <v>1</v>
      </c>
      <c r="H37" s="8" t="s">
        <v>84</v>
      </c>
      <c r="I37" s="6" t="s">
        <v>89</v>
      </c>
      <c r="J37" s="16" t="s">
        <v>85</v>
      </c>
      <c r="K37" s="17"/>
    </row>
    <row r="38" ht="15">
      <c r="A38" s="6" t="s">
        <v>190</v>
      </c>
      <c r="B38" s="6" t="s">
        <v>57</v>
      </c>
      <c r="C38" s="6" t="s">
        <v>191</v>
      </c>
      <c r="D38" s="6" t="s">
        <v>192</v>
      </c>
      <c r="E38" s="11" t="s">
        <v>26</v>
      </c>
      <c r="F38" s="8" t="s">
        <v>98</v>
      </c>
      <c r="G38" s="8">
        <v>2</v>
      </c>
      <c r="H38" s="8" t="s">
        <v>84</v>
      </c>
      <c r="I38" s="6" t="s">
        <v>187</v>
      </c>
      <c r="J38" s="16" t="s">
        <v>85</v>
      </c>
      <c r="K38" s="17"/>
    </row>
    <row r="39" ht="15">
      <c r="A39" s="6" t="s">
        <v>193</v>
      </c>
      <c r="B39" s="6" t="s">
        <v>57</v>
      </c>
      <c r="C39" s="6" t="s">
        <v>194</v>
      </c>
      <c r="D39" s="6" t="s">
        <v>195</v>
      </c>
      <c r="E39" s="11" t="s">
        <v>26</v>
      </c>
      <c r="F39" s="8" t="s">
        <v>98</v>
      </c>
      <c r="G39" s="8">
        <v>3</v>
      </c>
      <c r="H39" s="8" t="s">
        <v>84</v>
      </c>
      <c r="I39" s="6" t="s">
        <v>190</v>
      </c>
      <c r="J39" s="16" t="s">
        <v>85</v>
      </c>
      <c r="K39" s="17"/>
    </row>
    <row r="40" ht="15">
      <c r="A40" s="6" t="s">
        <v>196</v>
      </c>
      <c r="B40" s="6" t="s">
        <v>57</v>
      </c>
      <c r="C40" s="6" t="s">
        <v>197</v>
      </c>
      <c r="D40" s="6" t="s">
        <v>198</v>
      </c>
      <c r="E40" s="11" t="s">
        <v>26</v>
      </c>
      <c r="F40" s="8" t="s">
        <v>129</v>
      </c>
      <c r="G40" s="8">
        <v>2</v>
      </c>
      <c r="H40" s="8" t="s">
        <v>99</v>
      </c>
      <c r="I40" s="6" t="s">
        <v>193</v>
      </c>
      <c r="J40" s="16" t="s">
        <v>85</v>
      </c>
      <c r="K40" s="17"/>
    </row>
    <row r="41" ht="15">
      <c r="A41" s="6" t="s">
        <v>199</v>
      </c>
      <c r="B41" s="6" t="s">
        <v>57</v>
      </c>
      <c r="C41" s="6" t="s">
        <v>162</v>
      </c>
      <c r="D41" s="6" t="s">
        <v>200</v>
      </c>
      <c r="E41" s="11" t="s">
        <v>26</v>
      </c>
      <c r="F41" s="8" t="s">
        <v>129</v>
      </c>
      <c r="G41" s="8">
        <v>2</v>
      </c>
      <c r="H41" s="8" t="s">
        <v>99</v>
      </c>
      <c r="I41" s="6" t="s">
        <v>193</v>
      </c>
      <c r="J41" s="16" t="s">
        <v>85</v>
      </c>
      <c r="K41" s="17"/>
    </row>
    <row r="42" ht="26.850000000000001">
      <c r="A42" s="6" t="s">
        <v>130</v>
      </c>
      <c r="B42" s="6" t="s">
        <v>57</v>
      </c>
      <c r="C42" s="6" t="s">
        <v>201</v>
      </c>
      <c r="D42" s="6" t="s">
        <v>202</v>
      </c>
      <c r="E42" s="11" t="s">
        <v>26</v>
      </c>
      <c r="F42" s="8" t="s">
        <v>129</v>
      </c>
      <c r="G42" s="8">
        <v>2</v>
      </c>
      <c r="H42" s="8" t="s">
        <v>99</v>
      </c>
      <c r="I42" s="6" t="s">
        <v>193</v>
      </c>
      <c r="J42" s="16" t="s">
        <v>85</v>
      </c>
      <c r="K42" s="17"/>
    </row>
    <row r="43" ht="15">
      <c r="A43" s="6" t="s">
        <v>203</v>
      </c>
      <c r="B43" s="6" t="s">
        <v>61</v>
      </c>
      <c r="C43" s="6" t="s">
        <v>204</v>
      </c>
      <c r="D43" s="6" t="s">
        <v>205</v>
      </c>
      <c r="E43" s="11" t="s">
        <v>26</v>
      </c>
      <c r="F43" s="8" t="s">
        <v>98</v>
      </c>
      <c r="G43" s="8">
        <v>1</v>
      </c>
      <c r="H43" s="8" t="s">
        <v>84</v>
      </c>
      <c r="I43" s="6" t="s">
        <v>89</v>
      </c>
      <c r="J43" s="16" t="s">
        <v>85</v>
      </c>
      <c r="K43" s="17"/>
    </row>
    <row r="44" ht="15">
      <c r="A44" s="6" t="s">
        <v>206</v>
      </c>
      <c r="B44" s="6" t="s">
        <v>61</v>
      </c>
      <c r="C44" s="6" t="s">
        <v>207</v>
      </c>
      <c r="D44" s="6" t="s">
        <v>208</v>
      </c>
      <c r="E44" s="11" t="s">
        <v>26</v>
      </c>
      <c r="F44" s="8" t="s">
        <v>129</v>
      </c>
      <c r="G44" s="8">
        <v>1</v>
      </c>
      <c r="H44" s="8" t="s">
        <v>84</v>
      </c>
      <c r="I44" s="6" t="s">
        <v>203</v>
      </c>
      <c r="J44" s="16" t="s">
        <v>85</v>
      </c>
      <c r="K44" s="17"/>
    </row>
    <row r="45" ht="26.850000000000001">
      <c r="A45" s="6" t="s">
        <v>209</v>
      </c>
      <c r="B45" s="6" t="s">
        <v>61</v>
      </c>
      <c r="C45" s="6" t="s">
        <v>210</v>
      </c>
      <c r="D45" s="6" t="s">
        <v>211</v>
      </c>
      <c r="E45" s="11" t="s">
        <v>26</v>
      </c>
      <c r="F45" s="8" t="s">
        <v>129</v>
      </c>
      <c r="G45" s="8">
        <v>2</v>
      </c>
      <c r="H45" s="8" t="s">
        <v>84</v>
      </c>
      <c r="I45" s="6" t="s">
        <v>206</v>
      </c>
      <c r="J45" s="16" t="s">
        <v>85</v>
      </c>
      <c r="K45" s="17"/>
    </row>
    <row r="46" ht="15">
      <c r="A46" s="6" t="s">
        <v>212</v>
      </c>
      <c r="B46" s="6" t="s">
        <v>61</v>
      </c>
      <c r="C46" s="6" t="s">
        <v>213</v>
      </c>
      <c r="D46" s="6" t="s">
        <v>214</v>
      </c>
      <c r="E46" s="11" t="s">
        <v>26</v>
      </c>
      <c r="F46" s="8" t="s">
        <v>129</v>
      </c>
      <c r="G46" s="8">
        <v>1</v>
      </c>
      <c r="H46" s="8" t="s">
        <v>84</v>
      </c>
      <c r="I46" s="6" t="s">
        <v>209</v>
      </c>
      <c r="J46" s="16" t="s">
        <v>85</v>
      </c>
      <c r="K46" s="17"/>
    </row>
    <row r="47" ht="15">
      <c r="A47" s="6" t="s">
        <v>215</v>
      </c>
      <c r="B47" s="6" t="s">
        <v>61</v>
      </c>
      <c r="C47" s="6" t="s">
        <v>183</v>
      </c>
      <c r="D47" s="6" t="s">
        <v>216</v>
      </c>
      <c r="E47" s="11" t="s">
        <v>26</v>
      </c>
      <c r="F47" s="8" t="s">
        <v>98</v>
      </c>
      <c r="G47" s="8">
        <v>2</v>
      </c>
      <c r="H47" s="8" t="s">
        <v>84</v>
      </c>
      <c r="I47" s="6" t="s">
        <v>190</v>
      </c>
      <c r="J47" s="16" t="s">
        <v>85</v>
      </c>
      <c r="K47" s="17"/>
    </row>
    <row r="48" ht="15">
      <c r="A48" s="6" t="s">
        <v>217</v>
      </c>
      <c r="B48" s="6" t="s">
        <v>61</v>
      </c>
      <c r="C48" s="6" t="s">
        <v>183</v>
      </c>
      <c r="D48" s="6" t="s">
        <v>218</v>
      </c>
      <c r="E48" s="11" t="s">
        <v>26</v>
      </c>
      <c r="F48" s="8" t="s">
        <v>129</v>
      </c>
      <c r="G48" s="8">
        <v>2</v>
      </c>
      <c r="H48" s="8" t="s">
        <v>84</v>
      </c>
      <c r="I48" s="6" t="s">
        <v>193</v>
      </c>
      <c r="J48" s="16" t="s">
        <v>85</v>
      </c>
      <c r="K48" s="17"/>
    </row>
    <row r="49" ht="15">
      <c r="A49" s="6" t="s">
        <v>219</v>
      </c>
      <c r="B49" s="6" t="s">
        <v>61</v>
      </c>
      <c r="C49" s="6" t="s">
        <v>183</v>
      </c>
      <c r="D49" s="6" t="s">
        <v>220</v>
      </c>
      <c r="E49" s="11" t="s">
        <v>26</v>
      </c>
      <c r="F49" s="8" t="s">
        <v>116</v>
      </c>
      <c r="G49" s="8">
        <v>3</v>
      </c>
      <c r="H49" s="8" t="s">
        <v>84</v>
      </c>
      <c r="I49" s="6" t="s">
        <v>209</v>
      </c>
      <c r="J49" s="16" t="s">
        <v>85</v>
      </c>
      <c r="K49" s="17"/>
    </row>
    <row r="50" ht="15">
      <c r="A50" s="6" t="s">
        <v>221</v>
      </c>
      <c r="B50" s="6" t="s">
        <v>61</v>
      </c>
      <c r="C50" s="6" t="s">
        <v>183</v>
      </c>
      <c r="D50" s="6" t="s">
        <v>222</v>
      </c>
      <c r="E50" s="11" t="s">
        <v>26</v>
      </c>
      <c r="F50" s="8" t="s">
        <v>116</v>
      </c>
      <c r="G50" s="8">
        <v>2</v>
      </c>
      <c r="H50" s="8" t="s">
        <v>84</v>
      </c>
      <c r="I50" s="6" t="s">
        <v>193</v>
      </c>
      <c r="J50" s="16" t="s">
        <v>85</v>
      </c>
      <c r="K50" s="17"/>
    </row>
    <row r="51" ht="15">
      <c r="A51" s="6" t="s">
        <v>223</v>
      </c>
      <c r="B51" s="6" t="s">
        <v>65</v>
      </c>
      <c r="C51" s="6" t="s">
        <v>224</v>
      </c>
      <c r="D51" s="6" t="s">
        <v>225</v>
      </c>
      <c r="E51" s="18" t="s">
        <v>28</v>
      </c>
      <c r="F51" s="8" t="s">
        <v>129</v>
      </c>
      <c r="G51" s="8">
        <v>2</v>
      </c>
      <c r="H51" s="8" t="s">
        <v>99</v>
      </c>
      <c r="I51" s="6" t="s">
        <v>203</v>
      </c>
      <c r="J51" s="16" t="s">
        <v>85</v>
      </c>
      <c r="K51" s="17"/>
    </row>
    <row r="52" ht="15">
      <c r="A52" s="6" t="s">
        <v>226</v>
      </c>
      <c r="B52" s="6" t="s">
        <v>65</v>
      </c>
      <c r="C52" s="6" t="s">
        <v>224</v>
      </c>
      <c r="D52" s="6" t="s">
        <v>227</v>
      </c>
      <c r="E52" s="18" t="s">
        <v>28</v>
      </c>
      <c r="F52" s="8" t="s">
        <v>129</v>
      </c>
      <c r="G52" s="8">
        <v>1</v>
      </c>
      <c r="H52" s="8" t="s">
        <v>99</v>
      </c>
      <c r="I52" s="6" t="s">
        <v>203</v>
      </c>
      <c r="J52" s="16" t="s">
        <v>85</v>
      </c>
      <c r="K52" s="17"/>
    </row>
    <row r="53" ht="15">
      <c r="A53" s="6" t="s">
        <v>228</v>
      </c>
      <c r="B53" s="6" t="s">
        <v>65</v>
      </c>
      <c r="C53" s="6" t="s">
        <v>224</v>
      </c>
      <c r="D53" s="6" t="s">
        <v>229</v>
      </c>
      <c r="E53" s="18" t="s">
        <v>28</v>
      </c>
      <c r="F53" s="8" t="s">
        <v>129</v>
      </c>
      <c r="G53" s="8">
        <v>2</v>
      </c>
      <c r="H53" s="8" t="s">
        <v>99</v>
      </c>
      <c r="I53" s="6" t="s">
        <v>209</v>
      </c>
      <c r="J53" s="16" t="s">
        <v>85</v>
      </c>
      <c r="K53" s="17"/>
    </row>
    <row r="54" ht="15">
      <c r="A54" s="6" t="s">
        <v>230</v>
      </c>
      <c r="B54" s="6" t="s">
        <v>65</v>
      </c>
      <c r="C54" s="6" t="s">
        <v>231</v>
      </c>
      <c r="D54" s="6" t="s">
        <v>232</v>
      </c>
      <c r="E54" s="18" t="s">
        <v>28</v>
      </c>
      <c r="F54" s="8" t="s">
        <v>83</v>
      </c>
      <c r="G54" s="8">
        <v>2</v>
      </c>
      <c r="H54" s="8" t="s">
        <v>99</v>
      </c>
      <c r="I54" s="6" t="s">
        <v>40</v>
      </c>
      <c r="J54" s="16" t="s">
        <v>85</v>
      </c>
      <c r="K54" s="17"/>
    </row>
    <row r="55" ht="15">
      <c r="A55" s="6" t="s">
        <v>233</v>
      </c>
      <c r="B55" s="6" t="s">
        <v>65</v>
      </c>
      <c r="C55" s="6" t="s">
        <v>234</v>
      </c>
      <c r="D55" s="6" t="s">
        <v>235</v>
      </c>
      <c r="E55" s="18" t="s">
        <v>28</v>
      </c>
      <c r="F55" s="8" t="s">
        <v>129</v>
      </c>
      <c r="G55" s="8">
        <v>3</v>
      </c>
      <c r="H55" s="8" t="s">
        <v>84</v>
      </c>
      <c r="I55" s="6" t="s">
        <v>236</v>
      </c>
      <c r="J55" s="16" t="s">
        <v>85</v>
      </c>
      <c r="K55" s="17"/>
    </row>
    <row r="56" ht="15">
      <c r="A56" s="6" t="s">
        <v>237</v>
      </c>
      <c r="B56" s="6" t="s">
        <v>65</v>
      </c>
      <c r="C56" s="6" t="s">
        <v>234</v>
      </c>
      <c r="D56" s="6" t="s">
        <v>238</v>
      </c>
      <c r="E56" s="18" t="s">
        <v>28</v>
      </c>
      <c r="F56" s="8" t="s">
        <v>129</v>
      </c>
      <c r="G56" s="8">
        <v>2</v>
      </c>
      <c r="H56" s="8" t="s">
        <v>84</v>
      </c>
      <c r="I56" s="6" t="s">
        <v>239</v>
      </c>
      <c r="J56" s="16" t="s">
        <v>85</v>
      </c>
      <c r="K56" s="17"/>
    </row>
    <row r="57" ht="15">
      <c r="A57" s="6" t="s">
        <v>240</v>
      </c>
      <c r="B57" s="6" t="s">
        <v>65</v>
      </c>
      <c r="C57" s="6" t="s">
        <v>234</v>
      </c>
      <c r="D57" s="6" t="s">
        <v>241</v>
      </c>
      <c r="E57" s="18" t="s">
        <v>28</v>
      </c>
      <c r="F57" s="8" t="s">
        <v>116</v>
      </c>
      <c r="G57" s="8">
        <v>2</v>
      </c>
      <c r="H57" s="8" t="s">
        <v>99</v>
      </c>
      <c r="I57" s="6" t="s">
        <v>130</v>
      </c>
      <c r="J57" s="16" t="s">
        <v>85</v>
      </c>
      <c r="K57" s="17"/>
    </row>
    <row r="58" ht="15">
      <c r="A58" s="6" t="s">
        <v>242</v>
      </c>
      <c r="B58" s="6" t="s">
        <v>65</v>
      </c>
      <c r="C58" s="6" t="s">
        <v>234</v>
      </c>
      <c r="D58" s="6" t="s">
        <v>243</v>
      </c>
      <c r="E58" s="18" t="s">
        <v>28</v>
      </c>
      <c r="F58" s="8" t="s">
        <v>116</v>
      </c>
      <c r="G58" s="8">
        <v>2</v>
      </c>
      <c r="H58" s="8" t="s">
        <v>106</v>
      </c>
      <c r="I58" s="6" t="s">
        <v>117</v>
      </c>
      <c r="J58" s="16" t="s">
        <v>85</v>
      </c>
      <c r="K58" s="17"/>
    </row>
    <row r="59" ht="15">
      <c r="A59" s="6" t="s">
        <v>244</v>
      </c>
      <c r="B59" s="6" t="s">
        <v>65</v>
      </c>
      <c r="C59" s="6" t="s">
        <v>183</v>
      </c>
      <c r="D59" s="6" t="s">
        <v>245</v>
      </c>
      <c r="E59" s="18" t="s">
        <v>28</v>
      </c>
      <c r="F59" s="8" t="s">
        <v>116</v>
      </c>
      <c r="G59" s="8">
        <v>2</v>
      </c>
      <c r="H59" s="8" t="s">
        <v>99</v>
      </c>
      <c r="I59" s="6" t="s">
        <v>123</v>
      </c>
      <c r="J59" s="16" t="s">
        <v>85</v>
      </c>
      <c r="K59" s="17"/>
    </row>
    <row r="60" ht="26.850000000000001">
      <c r="A60" s="6" t="s">
        <v>246</v>
      </c>
      <c r="B60" s="6" t="s">
        <v>65</v>
      </c>
      <c r="C60" s="6" t="s">
        <v>247</v>
      </c>
      <c r="D60" s="6" t="s">
        <v>248</v>
      </c>
      <c r="E60" s="18" t="s">
        <v>28</v>
      </c>
      <c r="F60" s="8" t="s">
        <v>129</v>
      </c>
      <c r="G60" s="8">
        <v>1</v>
      </c>
      <c r="H60" s="8" t="s">
        <v>84</v>
      </c>
      <c r="I60" s="6" t="s">
        <v>193</v>
      </c>
      <c r="J60" s="16" t="s">
        <v>85</v>
      </c>
      <c r="K60" s="17"/>
    </row>
    <row r="61" ht="15">
      <c r="A61" s="6" t="s">
        <v>249</v>
      </c>
      <c r="B61" s="6" t="s">
        <v>65</v>
      </c>
      <c r="C61" s="6" t="s">
        <v>250</v>
      </c>
      <c r="D61" s="6" t="s">
        <v>251</v>
      </c>
      <c r="E61" s="18" t="s">
        <v>28</v>
      </c>
      <c r="F61" s="8" t="s">
        <v>116</v>
      </c>
      <c r="G61" s="8">
        <v>2</v>
      </c>
      <c r="H61" s="8" t="s">
        <v>99</v>
      </c>
      <c r="I61" s="6" t="s">
        <v>95</v>
      </c>
      <c r="J61" s="16" t="s">
        <v>85</v>
      </c>
      <c r="K61" s="17"/>
    </row>
    <row r="62" ht="15">
      <c r="A62" s="6" t="s">
        <v>252</v>
      </c>
      <c r="B62" s="6" t="s">
        <v>65</v>
      </c>
      <c r="C62" s="6" t="s">
        <v>253</v>
      </c>
      <c r="D62" s="6" t="s">
        <v>254</v>
      </c>
      <c r="E62" s="18" t="s">
        <v>28</v>
      </c>
      <c r="F62" s="8" t="s">
        <v>116</v>
      </c>
      <c r="G62" s="8">
        <v>2</v>
      </c>
      <c r="H62" s="8" t="s">
        <v>84</v>
      </c>
      <c r="I62" s="6" t="s">
        <v>40</v>
      </c>
      <c r="J62" s="16" t="s">
        <v>85</v>
      </c>
      <c r="K62" s="17"/>
    </row>
    <row r="63" ht="15">
      <c r="F63" s="13" t="s">
        <v>69</v>
      </c>
      <c r="G63" s="14">
        <f>SUM(G4:G62)</f>
        <v>108</v>
      </c>
    </row>
  </sheetData>
  <autoFilter ref="A3:K63"/>
  <printOptions headings="0" gridLines="0" horizontalCentered="0" verticalCentered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00280025-0092-4F76-B378-00ED008B005D}" type="list" allowBlank="1" errorStyle="stop" imeMode="noControl" operator="between" showDropDown="0" showErrorMessage="0" showInputMessage="0">
          <x14:formula1>
            <xm:f>"Chưa bắt đầu,Đang làm,Chờ review,Xong,Tạm hoãn"</xm:f>
          </x14:formula1>
          <x14:formula2>
            <xm:f>0</xm:f>
          </x14:formula2>
          <xm:sqref>J4:J62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topLeftCell="C1" zoomScale="100" workbookViewId="0">
      <selection activeCell="A1" activeCellId="0" sqref="A1"/>
    </sheetView>
  </sheetViews>
  <sheetFormatPr defaultColWidth="8.6796875" defaultRowHeight="15"/>
  <cols>
    <col customWidth="1" min="1" max="1" style="0" width="10"/>
    <col customWidth="1" min="2" max="3" style="0" width="14"/>
    <col customWidth="1" min="4" max="4" style="0" width="40"/>
    <col customWidth="1" min="5" max="6" style="0" width="32"/>
    <col customWidth="1" min="7" max="9" style="0" width="34"/>
    <col customWidth="1" min="10" max="10" style="0" width="12"/>
  </cols>
  <sheetData>
    <row r="1" ht="17.350000000000001">
      <c r="A1" s="1" t="s">
        <v>255</v>
      </c>
    </row>
    <row r="3" ht="15">
      <c r="A3" s="5" t="s">
        <v>75</v>
      </c>
      <c r="B3" s="5" t="s">
        <v>256</v>
      </c>
      <c r="C3" s="5" t="s">
        <v>257</v>
      </c>
      <c r="D3" s="5" t="s">
        <v>258</v>
      </c>
      <c r="E3" s="5" t="s">
        <v>20</v>
      </c>
      <c r="F3" s="5" t="s">
        <v>22</v>
      </c>
      <c r="G3" s="5" t="s">
        <v>24</v>
      </c>
      <c r="H3" s="5" t="s">
        <v>26</v>
      </c>
      <c r="I3" s="5" t="s">
        <v>259</v>
      </c>
      <c r="J3" s="5" t="s">
        <v>36</v>
      </c>
    </row>
    <row r="4" ht="26.850000000000001">
      <c r="A4" s="6" t="s">
        <v>83</v>
      </c>
      <c r="B4" s="19"/>
      <c r="C4" s="19"/>
      <c r="D4" s="6" t="s">
        <v>260</v>
      </c>
      <c r="E4" s="7" t="s">
        <v>261</v>
      </c>
      <c r="F4" s="9" t="s">
        <v>40</v>
      </c>
      <c r="G4" s="10" t="s">
        <v>262</v>
      </c>
      <c r="H4" s="11" t="s">
        <v>263</v>
      </c>
      <c r="I4" s="12" t="s">
        <v>231</v>
      </c>
      <c r="J4" s="8">
        <f>SUMIF('Task chi tiết'!$F:$F,$A4,'Task chi tiết'!$G:$G)</f>
        <v>10</v>
      </c>
    </row>
    <row r="5" ht="26.850000000000001">
      <c r="A5" s="6" t="s">
        <v>98</v>
      </c>
      <c r="B5" s="19"/>
      <c r="C5" s="19"/>
      <c r="D5" s="6" t="s">
        <v>264</v>
      </c>
      <c r="E5" s="7" t="s">
        <v>265</v>
      </c>
      <c r="F5" s="9" t="s">
        <v>266</v>
      </c>
      <c r="G5" s="10" t="s">
        <v>267</v>
      </c>
      <c r="H5" s="11" t="s">
        <v>268</v>
      </c>
      <c r="I5" s="12" t="s">
        <v>269</v>
      </c>
      <c r="J5" s="8">
        <f>SUMIF('Task chi tiết'!$F:$F,$A5,'Task chi tiết'!$G:$G)</f>
        <v>28</v>
      </c>
    </row>
    <row r="6" ht="26.850000000000001">
      <c r="A6" s="6" t="s">
        <v>129</v>
      </c>
      <c r="B6" s="19"/>
      <c r="C6" s="19"/>
      <c r="D6" s="6" t="s">
        <v>270</v>
      </c>
      <c r="E6" s="7" t="s">
        <v>40</v>
      </c>
      <c r="F6" s="9" t="s">
        <v>271</v>
      </c>
      <c r="G6" s="10" t="s">
        <v>272</v>
      </c>
      <c r="H6" s="11" t="s">
        <v>273</v>
      </c>
      <c r="I6" s="12" t="s">
        <v>274</v>
      </c>
      <c r="J6" s="8">
        <f>SUMIF('Task chi tiết'!$F:$F,$A6,'Task chi tiết'!$G:$G)</f>
        <v>40</v>
      </c>
    </row>
    <row r="7" ht="26.850000000000001">
      <c r="A7" s="6" t="s">
        <v>116</v>
      </c>
      <c r="B7" s="19"/>
      <c r="C7" s="19"/>
      <c r="D7" s="6" t="s">
        <v>275</v>
      </c>
      <c r="E7" s="7" t="s">
        <v>276</v>
      </c>
      <c r="F7" s="9" t="s">
        <v>277</v>
      </c>
      <c r="G7" s="10" t="s">
        <v>278</v>
      </c>
      <c r="H7" s="11" t="s">
        <v>279</v>
      </c>
      <c r="I7" s="12" t="s">
        <v>280</v>
      </c>
      <c r="J7" s="8">
        <f>SUMIF('Task chi tiết'!$F:$F,$A7,'Task chi tiết'!$G:$G)</f>
        <v>30</v>
      </c>
    </row>
    <row r="8" ht="15">
      <c r="I8" s="13" t="s">
        <v>69</v>
      </c>
      <c r="J8" s="14">
        <f>SUM(J4:J7)</f>
        <v>108</v>
      </c>
    </row>
    <row r="10" ht="15">
      <c r="A10" s="20" t="s">
        <v>281</v>
      </c>
    </row>
    <row r="11" ht="15">
      <c r="A11" s="15" t="s">
        <v>282</v>
      </c>
    </row>
    <row r="12" ht="15">
      <c r="A12" s="15" t="s">
        <v>283</v>
      </c>
    </row>
    <row r="13" ht="15">
      <c r="A13" s="15" t="s">
        <v>284</v>
      </c>
    </row>
    <row r="14" ht="15">
      <c r="A14" s="15" t="s">
        <v>285</v>
      </c>
    </row>
  </sheetData>
  <printOptions headings="0" gridLines="0" horizontalCentered="0" verticalCentered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ONLYOFFICE/9.3.1.8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dc:language>en-US</dc:language>
  <cp:revision>1</cp:revision>
  <dcterms:created xsi:type="dcterms:W3CDTF">2026-09-07T04:21:19Z</dcterms:created>
  <dcterms:modified xsi:type="dcterms:W3CDTF">2026-09-07T04:27:48Z</dcterms:modified>
</cp:coreProperties>
</file>